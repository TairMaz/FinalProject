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5588b89bee7842d/Desktop/study/FinalProject/"/>
    </mc:Choice>
  </mc:AlternateContent>
  <xr:revisionPtr revIDLastSave="215" documentId="13_ncr:1_{8F502A50-5F14-482C-ABFC-315A1DFEBD8A}" xr6:coauthVersionLast="47" xr6:coauthVersionMax="47" xr10:uidLastSave="{3076319C-6567-4A4A-B52B-D79F20631452}"/>
  <bookViews>
    <workbookView xWindow="-108" yWindow="-108" windowWidth="23256" windowHeight="12456" xr2:uid="{67ECAEA5-B17F-427E-B496-35A69D9B2AB9}"/>
  </bookViews>
  <sheets>
    <sheet name="דוגמה 1" sheetId="1" r:id="rId1"/>
    <sheet name="דוגמה 2" sheetId="4" r:id="rId2"/>
    <sheet name="דוגמה 3" sheetId="5" r:id="rId3"/>
    <sheet name="דוגמה 4 עם משקלי דחייה" sheetId="7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6" i="7" l="1"/>
  <c r="J45" i="7"/>
  <c r="J44" i="7"/>
  <c r="J40" i="7"/>
  <c r="J39" i="7"/>
  <c r="J38" i="7"/>
  <c r="J34" i="7"/>
  <c r="J33" i="7"/>
  <c r="J32" i="7"/>
  <c r="J28" i="7"/>
  <c r="J27" i="7"/>
  <c r="J26" i="7"/>
  <c r="J22" i="7"/>
  <c r="J21" i="7"/>
  <c r="J20" i="7"/>
  <c r="M40" i="5"/>
  <c r="M39" i="5"/>
  <c r="M38" i="5"/>
  <c r="M37" i="5"/>
  <c r="M41" i="5" s="1"/>
  <c r="L32" i="5"/>
  <c r="J32" i="5"/>
  <c r="C32" i="5"/>
  <c r="E32" i="5" s="1"/>
  <c r="L31" i="5"/>
  <c r="J31" i="5"/>
  <c r="E31" i="5"/>
  <c r="C31" i="5"/>
  <c r="L30" i="5"/>
  <c r="J30" i="5"/>
  <c r="E30" i="5"/>
  <c r="C30" i="5"/>
  <c r="L29" i="5"/>
  <c r="L33" i="5" s="1"/>
  <c r="J29" i="5"/>
  <c r="E29" i="5"/>
  <c r="C29" i="5"/>
  <c r="Q23" i="5"/>
  <c r="S23" i="5" s="1"/>
  <c r="L23" i="5"/>
  <c r="J23" i="5"/>
  <c r="E23" i="5"/>
  <c r="C23" i="5"/>
  <c r="S22" i="5"/>
  <c r="Q22" i="5"/>
  <c r="J22" i="5"/>
  <c r="L22" i="5" s="1"/>
  <c r="E22" i="5"/>
  <c r="C22" i="5"/>
  <c r="Q21" i="5"/>
  <c r="S21" i="5" s="1"/>
  <c r="L21" i="5"/>
  <c r="J21" i="5"/>
  <c r="C21" i="5"/>
  <c r="E21" i="5" s="1"/>
  <c r="S20" i="5"/>
  <c r="Q20" i="5"/>
  <c r="J20" i="5"/>
  <c r="L20" i="5" s="1"/>
  <c r="L24" i="5" s="1"/>
  <c r="E20" i="5"/>
  <c r="C20" i="5"/>
  <c r="S15" i="5"/>
  <c r="X14" i="5"/>
  <c r="Z14" i="5" s="1"/>
  <c r="S14" i="5"/>
  <c r="Q14" i="5"/>
  <c r="J14" i="5"/>
  <c r="L14" i="5" s="1"/>
  <c r="E14" i="5"/>
  <c r="C14" i="5"/>
  <c r="X13" i="5"/>
  <c r="Z13" i="5" s="1"/>
  <c r="S13" i="5"/>
  <c r="Q13" i="5"/>
  <c r="J13" i="5"/>
  <c r="L13" i="5" s="1"/>
  <c r="E13" i="5"/>
  <c r="C13" i="5"/>
  <c r="X12" i="5"/>
  <c r="Z12" i="5" s="1"/>
  <c r="S12" i="5"/>
  <c r="Q12" i="5"/>
  <c r="J12" i="5"/>
  <c r="L12" i="5" s="1"/>
  <c r="E12" i="5"/>
  <c r="C12" i="5"/>
  <c r="X11" i="5"/>
  <c r="Z11" i="5" s="1"/>
  <c r="S11" i="5"/>
  <c r="Q11" i="5"/>
  <c r="J11" i="5"/>
  <c r="L11" i="5" s="1"/>
  <c r="L15" i="5" s="1"/>
  <c r="E11" i="5"/>
  <c r="E15" i="5" s="1"/>
  <c r="C11" i="5"/>
  <c r="J35" i="4"/>
  <c r="J28" i="4"/>
  <c r="J19" i="4"/>
  <c r="J21" i="4"/>
  <c r="J14" i="4"/>
  <c r="J34" i="4"/>
  <c r="J33" i="4"/>
  <c r="J32" i="4"/>
  <c r="J27" i="4"/>
  <c r="J26" i="4"/>
  <c r="J25" i="4"/>
  <c r="J20" i="4"/>
  <c r="J18" i="4"/>
  <c r="J13" i="4"/>
  <c r="I12" i="4"/>
  <c r="J12" i="4" s="1"/>
  <c r="J11" i="4"/>
  <c r="J15" i="4" s="1"/>
  <c r="J7" i="1"/>
  <c r="K45" i="1"/>
  <c r="K44" i="1"/>
  <c r="K43" i="1"/>
  <c r="J6" i="1"/>
  <c r="K38" i="1"/>
  <c r="K37" i="1"/>
  <c r="K36" i="1"/>
  <c r="J5" i="1"/>
  <c r="K32" i="1"/>
  <c r="K31" i="1"/>
  <c r="K30" i="1"/>
  <c r="J4" i="1"/>
  <c r="K26" i="1"/>
  <c r="K25" i="1"/>
  <c r="K24" i="1"/>
  <c r="J3" i="1"/>
  <c r="K19" i="1"/>
  <c r="K17" i="1"/>
  <c r="K18" i="1"/>
  <c r="J2" i="1"/>
  <c r="K13" i="1"/>
  <c r="K12" i="1"/>
  <c r="J12" i="1"/>
  <c r="J11" i="1"/>
  <c r="K11" i="1" s="1"/>
  <c r="J47" i="7" l="1"/>
  <c r="J35" i="7"/>
  <c r="J41" i="7"/>
  <c r="J23" i="7"/>
  <c r="J29" i="7"/>
  <c r="E24" i="5"/>
  <c r="Z15" i="5"/>
  <c r="S24" i="5"/>
  <c r="E33" i="5"/>
  <c r="J36" i="4"/>
  <c r="J29" i="4"/>
  <c r="J22" i="4"/>
</calcChain>
</file>

<file path=xl/sharedStrings.xml><?xml version="1.0" encoding="utf-8"?>
<sst xmlns="http://schemas.openxmlformats.org/spreadsheetml/2006/main" count="376" uniqueCount="101">
  <si>
    <t>עבודה 1</t>
  </si>
  <si>
    <t>משקל</t>
  </si>
  <si>
    <t>עבודה 2</t>
  </si>
  <si>
    <t>עבודה 3</t>
  </si>
  <si>
    <t>זמן עיבוד</t>
  </si>
  <si>
    <t>הסדר</t>
  </si>
  <si>
    <t>1-&gt;2-&gt;3</t>
  </si>
  <si>
    <t>1-&gt;3_&gt;2</t>
  </si>
  <si>
    <t>2-&gt;1-&gt;3</t>
  </si>
  <si>
    <t>3-&gt;1-&gt;2</t>
  </si>
  <si>
    <t>3-&gt;2-&gt;1</t>
  </si>
  <si>
    <t>התוצאה - זרימה של 4 מכונות</t>
  </si>
  <si>
    <t>סיום מכונה 1</t>
  </si>
  <si>
    <t>סיום  מכונה 2</t>
  </si>
  <si>
    <t>סיום מכונה 3</t>
  </si>
  <si>
    <t>סיום מכונה 4</t>
  </si>
  <si>
    <t>תוצאה</t>
  </si>
  <si>
    <t xml:space="preserve"> עבודה 1</t>
  </si>
  <si>
    <t xml:space="preserve"> עבודה 3</t>
  </si>
  <si>
    <t>התחלת מכונה 1</t>
  </si>
  <si>
    <t>התחלת מכונה 2</t>
  </si>
  <si>
    <t>התחלת מכונה 3</t>
  </si>
  <si>
    <t>התחלת מכונה 4</t>
  </si>
  <si>
    <t xml:space="preserve"> עבודה 2</t>
  </si>
  <si>
    <t xml:space="preserve"> עבודה2</t>
  </si>
  <si>
    <t>2-&gt;3-&gt;1</t>
  </si>
  <si>
    <t xml:space="preserve"> עבודה3</t>
  </si>
  <si>
    <t>עבודה 4</t>
  </si>
  <si>
    <t>1-&gt;2-&gt;3-&gt;4</t>
  </si>
  <si>
    <t>1-&gt;4-&gt;3-&gt;2</t>
  </si>
  <si>
    <t>2-&gt;1-&gt;4-&gt;3</t>
  </si>
  <si>
    <t xml:space="preserve"> עבודה 4</t>
  </si>
  <si>
    <t>עבדה 3</t>
  </si>
  <si>
    <t>3-&gt;2-&gt;1-&gt;4</t>
  </si>
  <si>
    <t>סיום לפי הנוסחה</t>
  </si>
  <si>
    <t>הנוסחה לזמן סיום של עבודה j במכונה האחרונה:</t>
  </si>
  <si>
    <t>(זמן עיבוד של העבודה) 𝑝_𝑘</t>
  </si>
  <si>
    <t>max⁡{𝑝_1,…𝑝_𝑗} (הזמן עיבוד הכי גבוה שהיה לעבודה שכבר התחילה)</t>
  </si>
  <si>
    <t>הסכום מייצג את סכום הזמני עיבוד של העבודות שהיו עד כה</t>
  </si>
  <si>
    <t>m-1 (מספר המכונות פחות 1)</t>
  </si>
  <si>
    <t>(4+2)+2*4</t>
  </si>
  <si>
    <t>(4+2+6)+2*6</t>
  </si>
  <si>
    <t>4+2*4</t>
  </si>
  <si>
    <t>(4+2+6+3)+2*6</t>
  </si>
  <si>
    <t>(4+6)+2*6</t>
  </si>
  <si>
    <t>(4+6+2)+2*6</t>
  </si>
  <si>
    <t>(4+6+2+3)+2*3</t>
  </si>
  <si>
    <t>6+2*6</t>
  </si>
  <si>
    <t>(6+2)+2*6</t>
  </si>
  <si>
    <t>(6+2+4)+2*6</t>
  </si>
  <si>
    <t>(6+2+4+3)+2*6</t>
  </si>
  <si>
    <t>2+2*2</t>
  </si>
  <si>
    <t>(2+4)+2*4</t>
  </si>
  <si>
    <t>(2+4+3)+2*4</t>
  </si>
  <si>
    <t>(2+4+3+6)+2*6</t>
  </si>
  <si>
    <t>5 מכונות</t>
  </si>
  <si>
    <t>חישוב לפי הנוסחא:</t>
  </si>
  <si>
    <t>(1, 2, 3, 4)</t>
  </si>
  <si>
    <t>(1, 2, 4, 3)</t>
  </si>
  <si>
    <t>(1, 3, 2, 4)</t>
  </si>
  <si>
    <t>(1, 3, 4, 2)</t>
  </si>
  <si>
    <t>j</t>
  </si>
  <si>
    <t>מספר עבודה</t>
  </si>
  <si>
    <t>זמן סיום</t>
  </si>
  <si>
    <t>סה"כ</t>
  </si>
  <si>
    <t>(2,1,3,4)'</t>
  </si>
  <si>
    <t>(2,1,4,3)</t>
  </si>
  <si>
    <t>(2,3,1,4)</t>
  </si>
  <si>
    <t>(3,2,1,4)</t>
  </si>
  <si>
    <t>(3,1,2,4)</t>
  </si>
  <si>
    <t>3-&gt;2--&gt;1-&gt;4</t>
  </si>
  <si>
    <t>התחלת מכונה 5</t>
  </si>
  <si>
    <t>סיום מכונה 5</t>
  </si>
  <si>
    <t>אופטימלי</t>
  </si>
  <si>
    <t>משקלי דחייה</t>
  </si>
  <si>
    <t>עבודה 5</t>
  </si>
  <si>
    <t>לכן האפשרויות לדחייה הן:</t>
  </si>
  <si>
    <t>U = 10</t>
  </si>
  <si>
    <t>{1} = 4</t>
  </si>
  <si>
    <t>{2} = 3</t>
  </si>
  <si>
    <t>{3} = 6</t>
  </si>
  <si>
    <t>{4} = 5</t>
  </si>
  <si>
    <t>{5} = 8</t>
  </si>
  <si>
    <t>{1,2} = 7</t>
  </si>
  <si>
    <t>{1,4} = 9</t>
  </si>
  <si>
    <t>{2,3} = 9</t>
  </si>
  <si>
    <t>{2,4} = 8</t>
  </si>
  <si>
    <t>דחינו {1,3}</t>
  </si>
  <si>
    <t>2-&gt;4-&gt;5</t>
  </si>
  <si>
    <t>(3+2)+2*3</t>
  </si>
  <si>
    <t>(2+3+12)+2*12</t>
  </si>
  <si>
    <t>4-&gt;2-&gt;5</t>
  </si>
  <si>
    <t xml:space="preserve"> עבודה 5</t>
  </si>
  <si>
    <t>3+2*3</t>
  </si>
  <si>
    <t>4-&gt;5-&gt;2</t>
  </si>
  <si>
    <t>(3+12)+2*12</t>
  </si>
  <si>
    <t>2-&gt;5-&gt;4</t>
  </si>
  <si>
    <t>(12+2)+2*12</t>
  </si>
  <si>
    <t>5-&gt;2-&gt;4</t>
  </si>
  <si>
    <t>12+2*12</t>
  </si>
  <si>
    <t>{1,3} = 10 זאת הדחייה האידיאלית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</si>
</sst>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charset val="177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charset val="177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charset val="177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0" xfId="0" applyFont="1"/>
    <xf numFmtId="0" fontId="4" fillId="0" borderId="0" xfId="0" applyFont="1"/>
    <xf numFmtId="0" fontId="0" fillId="2" borderId="0" xfId="0" applyFill="1"/>
    <xf numFmtId="0" fontId="2" fillId="2" borderId="0" xfId="0" applyFont="1" applyFill="1"/>
    <xf numFmtId="0" fontId="0" fillId="3" borderId="0" xfId="0" applyFill="1"/>
    <xf numFmtId="0" fontId="5" fillId="0" borderId="0" xfId="0" applyFont="1"/>
    <xf numFmtId="0" fontId="5" fillId="3" borderId="0" xfId="0" applyFont="1" applyFill="1"/>
    <xf numFmtId="0" fontId="2" fillId="4" borderId="0" xfId="0" applyFont="1" applyFill="1"/>
    <xf numFmtId="0" fontId="0" fillId="4" borderId="0" xfId="0" applyFill="1"/>
    <xf numFmtId="0" fontId="4" fillId="4" borderId="0" xfId="0" applyFont="1" applyFill="1"/>
    <xf numFmtId="0" fontId="0" fillId="5" borderId="0" xfId="0" applyFill="1"/>
    <xf numFmtId="0" fontId="2" fillId="6" borderId="0" xfId="0" applyFont="1" applyFill="1"/>
    <xf numFmtId="0" fontId="4" fillId="6" borderId="0" xfId="0" applyFont="1" applyFill="1"/>
    <xf numFmtId="0" fontId="0" fillId="6" borderId="0" xfId="0" applyFill="1"/>
    <xf numFmtId="0" fontId="1" fillId="4" borderId="0" xfId="0" applyFont="1" applyFill="1"/>
    <xf numFmtId="0" fontId="5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809625</xdr:colOff>
      <xdr:row>1</xdr:row>
      <xdr:rowOff>71436</xdr:rowOff>
    </xdr:from>
    <xdr:ext cx="2305050" cy="21431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תיבת טקסט 1">
              <a:extLst>
                <a:ext uri="{FF2B5EF4-FFF2-40B4-BE49-F238E27FC236}">
                  <a16:creationId xmlns:a16="http://schemas.microsoft.com/office/drawing/2014/main" id="{5107E7E7-6E95-B4EC-43CA-1C07F117C89D}"/>
                </a:ext>
              </a:extLst>
            </xdr:cNvPr>
            <xdr:cNvSpPr txBox="1"/>
          </xdr:nvSpPr>
          <xdr:spPr>
            <a:xfrm>
              <a:off x="11230032150" y="261936"/>
              <a:ext cx="2305050" cy="214314"/>
            </a:xfrm>
            <a:prstGeom prst="rect">
              <a:avLst/>
            </a:prstGeom>
            <a:solidFill>
              <a:schemeClr val="accent2">
                <a:lumMod val="40000"/>
                <a:lumOff val="60000"/>
              </a:schemeClr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1" anchor="t">
              <a:spAutoFit/>
            </a:bodyPr>
            <a:lstStyle/>
            <a:p>
              <a:pPr algn="r" rtl="1"/>
              <a14:m>
                <m:oMath xmlns:m="http://schemas.openxmlformats.org/officeDocument/2006/math">
                  <m:sSub>
                    <m:sSubPr>
                      <m:ctrlPr>
                        <a:rPr lang="he-IL" sz="110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𝑐</m:t>
                      </m:r>
                    </m:e>
                    <m:sub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𝑗</m:t>
                      </m:r>
                    </m:sub>
                  </m:sSub>
                  <m:r>
                    <a:rPr lang="en-US" sz="1100" b="0" i="1">
                      <a:latin typeface="Cambria Math" panose="02040503050406030204" pitchFamily="18" charset="0"/>
                    </a:rPr>
                    <m:t>=</m:t>
                  </m:r>
                  <m:nary>
                    <m:naryPr>
                      <m:chr m:val="∏"/>
                      <m:ctrlPr>
                        <a:rPr lang="he-IL" sz="1100" i="1">
                          <a:latin typeface="Cambria Math" panose="02040503050406030204" pitchFamily="18" charset="0"/>
                        </a:rPr>
                      </m:ctrlPr>
                    </m:naryPr>
                    <m:sub>
                      <m:r>
                        <m:rPr>
                          <m:brk m:alnAt="23"/>
                        </m:rPr>
                        <a:rPr lang="en-US" sz="1100" b="0" i="1">
                          <a:latin typeface="Cambria Math" panose="02040503050406030204" pitchFamily="18" charset="0"/>
                        </a:rPr>
                        <m:t>1</m:t>
                      </m:r>
                    </m:sub>
                    <m:sup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𝑗</m:t>
                      </m:r>
                    </m:sup>
                    <m:e>
                      <m:sSub>
                        <m:sSubPr>
                          <m:ctrlPr>
                            <a:rPr lang="he-IL" sz="1100" i="1">
                              <a:latin typeface="Cambria Math" panose="02040503050406030204" pitchFamily="18" charset="0"/>
                            </a:rPr>
                          </m:ctrlPr>
                        </m:sSubPr>
                        <m:e>
                          <m:r>
                            <a:rPr lang="en-US" sz="1100" b="0" i="1">
                              <a:latin typeface="Cambria Math" panose="02040503050406030204" pitchFamily="18" charset="0"/>
                            </a:rPr>
                            <m:t>𝑝</m:t>
                          </m:r>
                        </m:e>
                        <m:sub>
                          <m:r>
                            <a:rPr lang="en-US" sz="1100" b="0" i="1">
                              <a:latin typeface="Cambria Math" panose="02040503050406030204" pitchFamily="18" charset="0"/>
                            </a:rPr>
                            <m:t>𝑘</m:t>
                          </m:r>
                        </m:sub>
                      </m:sSub>
                      <m:r>
                        <a:rPr lang="en-US" sz="1100" b="0" i="1">
                          <a:latin typeface="Cambria Math" panose="02040503050406030204" pitchFamily="18" charset="0"/>
                        </a:rPr>
                        <m:t>+</m:t>
                      </m:r>
                      <m:d>
                        <m:dPr>
                          <m:ctrlPr>
                            <a:rPr lang="en-US" sz="1100" b="0" i="1">
                              <a:latin typeface="Cambria Math" panose="02040503050406030204" pitchFamily="18" charset="0"/>
                            </a:rPr>
                          </m:ctrlPr>
                        </m:dPr>
                        <m:e>
                          <m:r>
                            <a:rPr lang="en-US" sz="1100" b="0" i="1">
                              <a:latin typeface="Cambria Math" panose="02040503050406030204" pitchFamily="18" charset="0"/>
                            </a:rPr>
                            <m:t>𝑚</m:t>
                          </m:r>
                          <m:r>
                            <a:rPr lang="en-US" sz="1100" b="0" i="1">
                              <a:latin typeface="Cambria Math" panose="02040503050406030204" pitchFamily="18" charset="0"/>
                            </a:rPr>
                            <m:t>−</m:t>
                          </m:r>
                          <m:r>
                            <a:rPr lang="en-US" sz="1100" b="0" i="1">
                              <a:latin typeface="Cambria Math" panose="02040503050406030204" pitchFamily="18" charset="0"/>
                            </a:rPr>
                            <m:t>1</m:t>
                          </m:r>
                        </m:e>
                      </m:d>
                      <m:r>
                        <m:rPr>
                          <m:sty m:val="p"/>
                        </m:rPr>
                        <a:rPr lang="en-US" sz="1100" b="0" i="0">
                          <a:latin typeface="Cambria Math" panose="02040503050406030204" pitchFamily="18" charset="0"/>
                        </a:rPr>
                        <m:t>max</m:t>
                      </m:r>
                      <m:r>
                        <a:rPr lang="en-US" sz="1100" b="0" i="1">
                          <a:latin typeface="Cambria Math" panose="02040503050406030204" pitchFamily="18" charset="0"/>
                        </a:rPr>
                        <m:t>⁡{</m:t>
                      </m:r>
                      <m:sSub>
                        <m:sSubPr>
                          <m:ctrlPr>
                            <a:rPr lang="en-US" sz="1100" b="0" i="1">
                              <a:latin typeface="Cambria Math" panose="02040503050406030204" pitchFamily="18" charset="0"/>
                            </a:rPr>
                          </m:ctrlPr>
                        </m:sSubPr>
                        <m:e>
                          <m:r>
                            <a:rPr lang="en-US" sz="1100" b="0" i="1">
                              <a:latin typeface="Cambria Math" panose="02040503050406030204" pitchFamily="18" charset="0"/>
                            </a:rPr>
                            <m:t>𝑝</m:t>
                          </m:r>
                        </m:e>
                        <m:sub>
                          <m:r>
                            <a:rPr lang="en-US" sz="1100" b="0" i="1">
                              <a:latin typeface="Cambria Math" panose="02040503050406030204" pitchFamily="18" charset="0"/>
                            </a:rPr>
                            <m:t>1</m:t>
                          </m:r>
                        </m:sub>
                      </m:sSub>
                      <m:r>
                        <a:rPr lang="en-US" sz="1100" b="0" i="1">
                          <a:latin typeface="Cambria Math" panose="02040503050406030204" pitchFamily="18" charset="0"/>
                        </a:rPr>
                        <m:t>,…</m:t>
                      </m:r>
                      <m:sSub>
                        <m:sSubPr>
                          <m:ctrlPr>
                            <a:rPr lang="en-US" sz="1100" b="0" i="1">
                              <a:latin typeface="Cambria Math" panose="02040503050406030204" pitchFamily="18" charset="0"/>
                            </a:rPr>
                          </m:ctrlPr>
                        </m:sSubPr>
                        <m:e>
                          <m:r>
                            <a:rPr lang="en-US" sz="1100" b="0" i="1">
                              <a:latin typeface="Cambria Math" panose="02040503050406030204" pitchFamily="18" charset="0"/>
                            </a:rPr>
                            <m:t>𝑝</m:t>
                          </m:r>
                        </m:e>
                        <m:sub>
                          <m:r>
                            <a:rPr lang="en-US" sz="1100" b="0" i="1">
                              <a:latin typeface="Cambria Math" panose="02040503050406030204" pitchFamily="18" charset="0"/>
                            </a:rPr>
                            <m:t>𝑗</m:t>
                          </m:r>
                        </m:sub>
                      </m:sSub>
                    </m:e>
                  </m:nary>
                </m:oMath>
              </a14:m>
              <a:r>
                <a:rPr lang="en-US" sz="1100"/>
                <a:t>}</a:t>
              </a:r>
              <a:endParaRPr lang="he-IL" sz="1100"/>
            </a:p>
          </xdr:txBody>
        </xdr:sp>
      </mc:Choice>
      <mc:Fallback xmlns="">
        <xdr:sp macro="" textlink="">
          <xdr:nvSpPr>
            <xdr:cNvPr id="2" name="תיבת טקסט 1">
              <a:extLst>
                <a:ext uri="{FF2B5EF4-FFF2-40B4-BE49-F238E27FC236}">
                  <a16:creationId xmlns:a16="http://schemas.microsoft.com/office/drawing/2014/main" id="{5107E7E7-6E95-B4EC-43CA-1C07F117C89D}"/>
                </a:ext>
              </a:extLst>
            </xdr:cNvPr>
            <xdr:cNvSpPr txBox="1"/>
          </xdr:nvSpPr>
          <xdr:spPr>
            <a:xfrm>
              <a:off x="11230032150" y="261936"/>
              <a:ext cx="2305050" cy="214314"/>
            </a:xfrm>
            <a:prstGeom prst="rect">
              <a:avLst/>
            </a:prstGeom>
            <a:solidFill>
              <a:schemeClr val="accent2">
                <a:lumMod val="40000"/>
                <a:lumOff val="60000"/>
              </a:schemeClr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1" anchor="t">
              <a:spAutoFit/>
            </a:bodyPr>
            <a:lstStyle/>
            <a:p>
              <a:pPr algn="r" rtl="1"/>
              <a:r>
                <a:rPr lang="en-US" sz="1100" b="0" i="0">
                  <a:latin typeface="Cambria Math" panose="02040503050406030204" pitchFamily="18" charset="0"/>
                </a:rPr>
                <a:t>𝑐</a:t>
              </a:r>
              <a:r>
                <a:rPr lang="he-IL" sz="1100" b="0" i="0">
                  <a:latin typeface="Cambria Math" panose="02040503050406030204" pitchFamily="18" charset="0"/>
                </a:rPr>
                <a:t>_</a:t>
              </a:r>
              <a:r>
                <a:rPr lang="en-US" sz="1100" b="0" i="0">
                  <a:latin typeface="Cambria Math" panose="02040503050406030204" pitchFamily="18" charset="0"/>
                </a:rPr>
                <a:t>𝑗=</a:t>
              </a:r>
              <a:r>
                <a:rPr lang="he-IL" sz="1100" i="0">
                  <a:latin typeface="Cambria Math" panose="02040503050406030204" pitchFamily="18" charset="0"/>
                </a:rPr>
                <a:t>∏24_</a:t>
              </a:r>
              <a:r>
                <a:rPr lang="en-US" sz="1100" b="0" i="0">
                  <a:latin typeface="Cambria Math" panose="02040503050406030204" pitchFamily="18" charset="0"/>
                </a:rPr>
                <a:t>1</a:t>
              </a:r>
              <a:r>
                <a:rPr lang="he-IL" sz="1100" b="0" i="0">
                  <a:latin typeface="Cambria Math" panose="02040503050406030204" pitchFamily="18" charset="0"/>
                </a:rPr>
                <a:t>^</a:t>
              </a:r>
              <a:r>
                <a:rPr lang="en-US" sz="1100" b="0" i="0">
                  <a:latin typeface="Cambria Math" panose="02040503050406030204" pitchFamily="18" charset="0"/>
                </a:rPr>
                <a:t>𝑗</a:t>
              </a:r>
              <a:r>
                <a:rPr lang="he-IL" sz="1100" b="0" i="0">
                  <a:latin typeface="Cambria Math" panose="02040503050406030204" pitchFamily="18" charset="0"/>
                </a:rPr>
                <a:t>▒〖</a:t>
              </a:r>
              <a:r>
                <a:rPr lang="en-US" sz="1100" b="0" i="0">
                  <a:latin typeface="Cambria Math" panose="02040503050406030204" pitchFamily="18" charset="0"/>
                </a:rPr>
                <a:t>𝑝</a:t>
              </a:r>
              <a:r>
                <a:rPr lang="he-IL" sz="1100" b="0" i="0">
                  <a:latin typeface="Cambria Math" panose="02040503050406030204" pitchFamily="18" charset="0"/>
                </a:rPr>
                <a:t>_</a:t>
              </a:r>
              <a:r>
                <a:rPr lang="en-US" sz="1100" b="0" i="0">
                  <a:latin typeface="Cambria Math" panose="02040503050406030204" pitchFamily="18" charset="0"/>
                </a:rPr>
                <a:t>𝑘+(𝑚−1)max⁡{𝑝_1,…𝑝_𝑗</a:t>
              </a:r>
              <a:r>
                <a:rPr lang="he-IL" sz="1100" b="0" i="0">
                  <a:latin typeface="Cambria Math" panose="02040503050406030204" pitchFamily="18" charset="0"/>
                </a:rPr>
                <a:t> 〗</a:t>
              </a:r>
              <a:r>
                <a:rPr lang="en-US" sz="1100"/>
                <a:t>}</a:t>
              </a:r>
              <a:endParaRPr lang="he-IL" sz="1100"/>
            </a:p>
          </xdr:txBody>
        </xdr:sp>
      </mc:Fallback>
    </mc:AlternateContent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809625</xdr:colOff>
      <xdr:row>1</xdr:row>
      <xdr:rowOff>71436</xdr:rowOff>
    </xdr:from>
    <xdr:ext cx="2305050" cy="21431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תיבת טקסט 1">
              <a:extLst>
                <a:ext uri="{FF2B5EF4-FFF2-40B4-BE49-F238E27FC236}">
                  <a16:creationId xmlns:a16="http://schemas.microsoft.com/office/drawing/2014/main" id="{DF43D777-8205-4E98-BDD2-071BEDD6036F}"/>
                </a:ext>
              </a:extLst>
            </xdr:cNvPr>
            <xdr:cNvSpPr txBox="1"/>
          </xdr:nvSpPr>
          <xdr:spPr>
            <a:xfrm>
              <a:off x="11230032150" y="263841"/>
              <a:ext cx="2305050" cy="214314"/>
            </a:xfrm>
            <a:prstGeom prst="rect">
              <a:avLst/>
            </a:prstGeom>
            <a:solidFill>
              <a:schemeClr val="accent2">
                <a:lumMod val="40000"/>
                <a:lumOff val="60000"/>
              </a:schemeClr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1" anchor="t">
              <a:spAutoFit/>
            </a:bodyPr>
            <a:lstStyle/>
            <a:p>
              <a:pPr algn="r" rtl="1"/>
              <a14:m>
                <m:oMath xmlns:m="http://schemas.openxmlformats.org/officeDocument/2006/math">
                  <m:sSub>
                    <m:sSubPr>
                      <m:ctrlPr>
                        <a:rPr lang="he-IL" sz="110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𝑐</m:t>
                      </m:r>
                    </m:e>
                    <m:sub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𝑗</m:t>
                      </m:r>
                    </m:sub>
                  </m:sSub>
                  <m:r>
                    <a:rPr lang="en-US" sz="1100" b="0" i="1">
                      <a:latin typeface="Cambria Math" panose="02040503050406030204" pitchFamily="18" charset="0"/>
                    </a:rPr>
                    <m:t>=</m:t>
                  </m:r>
                  <m:nary>
                    <m:naryPr>
                      <m:chr m:val="∏"/>
                      <m:ctrlPr>
                        <a:rPr lang="he-IL" sz="1100" i="1">
                          <a:latin typeface="Cambria Math" panose="02040503050406030204" pitchFamily="18" charset="0"/>
                        </a:rPr>
                      </m:ctrlPr>
                    </m:naryPr>
                    <m:sub>
                      <m:r>
                        <m:rPr>
                          <m:brk m:alnAt="23"/>
                        </m:rPr>
                        <a:rPr lang="en-US" sz="1100" b="0" i="1">
                          <a:latin typeface="Cambria Math" panose="02040503050406030204" pitchFamily="18" charset="0"/>
                        </a:rPr>
                        <m:t>1</m:t>
                      </m:r>
                    </m:sub>
                    <m:sup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𝑗</m:t>
                      </m:r>
                    </m:sup>
                    <m:e>
                      <m:sSub>
                        <m:sSubPr>
                          <m:ctrlPr>
                            <a:rPr lang="he-IL" sz="1100" i="1">
                              <a:latin typeface="Cambria Math" panose="02040503050406030204" pitchFamily="18" charset="0"/>
                            </a:rPr>
                          </m:ctrlPr>
                        </m:sSubPr>
                        <m:e>
                          <m:r>
                            <a:rPr lang="en-US" sz="1100" b="0" i="1">
                              <a:latin typeface="Cambria Math" panose="02040503050406030204" pitchFamily="18" charset="0"/>
                            </a:rPr>
                            <m:t>𝑝</m:t>
                          </m:r>
                        </m:e>
                        <m:sub>
                          <m:r>
                            <a:rPr lang="en-US" sz="1100" b="0" i="1">
                              <a:latin typeface="Cambria Math" panose="02040503050406030204" pitchFamily="18" charset="0"/>
                            </a:rPr>
                            <m:t>𝑘</m:t>
                          </m:r>
                        </m:sub>
                      </m:sSub>
                      <m:r>
                        <a:rPr lang="en-US" sz="1100" b="0" i="1">
                          <a:latin typeface="Cambria Math" panose="02040503050406030204" pitchFamily="18" charset="0"/>
                        </a:rPr>
                        <m:t>+</m:t>
                      </m:r>
                      <m:d>
                        <m:dPr>
                          <m:ctrlPr>
                            <a:rPr lang="en-US" sz="1100" b="0" i="1">
                              <a:latin typeface="Cambria Math" panose="02040503050406030204" pitchFamily="18" charset="0"/>
                            </a:rPr>
                          </m:ctrlPr>
                        </m:dPr>
                        <m:e>
                          <m:r>
                            <a:rPr lang="en-US" sz="1100" b="0" i="1">
                              <a:latin typeface="Cambria Math" panose="02040503050406030204" pitchFamily="18" charset="0"/>
                            </a:rPr>
                            <m:t>𝑚</m:t>
                          </m:r>
                          <m:r>
                            <a:rPr lang="en-US" sz="1100" b="0" i="1">
                              <a:latin typeface="Cambria Math" panose="02040503050406030204" pitchFamily="18" charset="0"/>
                            </a:rPr>
                            <m:t>−</m:t>
                          </m:r>
                          <m:r>
                            <a:rPr lang="en-US" sz="1100" b="0" i="1">
                              <a:latin typeface="Cambria Math" panose="02040503050406030204" pitchFamily="18" charset="0"/>
                            </a:rPr>
                            <m:t>1</m:t>
                          </m:r>
                        </m:e>
                      </m:d>
                      <m:r>
                        <m:rPr>
                          <m:sty m:val="p"/>
                        </m:rPr>
                        <a:rPr lang="en-US" sz="1100" b="0" i="0">
                          <a:latin typeface="Cambria Math" panose="02040503050406030204" pitchFamily="18" charset="0"/>
                        </a:rPr>
                        <m:t>max</m:t>
                      </m:r>
                      <m:r>
                        <a:rPr lang="en-US" sz="1100" b="0" i="1">
                          <a:latin typeface="Cambria Math" panose="02040503050406030204" pitchFamily="18" charset="0"/>
                        </a:rPr>
                        <m:t>⁡{</m:t>
                      </m:r>
                      <m:sSub>
                        <m:sSubPr>
                          <m:ctrlPr>
                            <a:rPr lang="en-US" sz="1100" b="0" i="1">
                              <a:latin typeface="Cambria Math" panose="02040503050406030204" pitchFamily="18" charset="0"/>
                            </a:rPr>
                          </m:ctrlPr>
                        </m:sSubPr>
                        <m:e>
                          <m:r>
                            <a:rPr lang="en-US" sz="1100" b="0" i="1">
                              <a:latin typeface="Cambria Math" panose="02040503050406030204" pitchFamily="18" charset="0"/>
                            </a:rPr>
                            <m:t>𝑝</m:t>
                          </m:r>
                        </m:e>
                        <m:sub>
                          <m:r>
                            <a:rPr lang="en-US" sz="1100" b="0" i="1">
                              <a:latin typeface="Cambria Math" panose="02040503050406030204" pitchFamily="18" charset="0"/>
                            </a:rPr>
                            <m:t>1</m:t>
                          </m:r>
                        </m:sub>
                      </m:sSub>
                      <m:r>
                        <a:rPr lang="en-US" sz="1100" b="0" i="1">
                          <a:latin typeface="Cambria Math" panose="02040503050406030204" pitchFamily="18" charset="0"/>
                        </a:rPr>
                        <m:t>,…</m:t>
                      </m:r>
                      <m:sSub>
                        <m:sSubPr>
                          <m:ctrlPr>
                            <a:rPr lang="en-US" sz="1100" b="0" i="1">
                              <a:latin typeface="Cambria Math" panose="02040503050406030204" pitchFamily="18" charset="0"/>
                            </a:rPr>
                          </m:ctrlPr>
                        </m:sSubPr>
                        <m:e>
                          <m:r>
                            <a:rPr lang="en-US" sz="1100" b="0" i="1">
                              <a:latin typeface="Cambria Math" panose="02040503050406030204" pitchFamily="18" charset="0"/>
                            </a:rPr>
                            <m:t>𝑝</m:t>
                          </m:r>
                        </m:e>
                        <m:sub>
                          <m:r>
                            <a:rPr lang="en-US" sz="1100" b="0" i="1">
                              <a:latin typeface="Cambria Math" panose="02040503050406030204" pitchFamily="18" charset="0"/>
                            </a:rPr>
                            <m:t>𝑗</m:t>
                          </m:r>
                        </m:sub>
                      </m:sSub>
                    </m:e>
                  </m:nary>
                </m:oMath>
              </a14:m>
              <a:r>
                <a:rPr lang="en-US" sz="1100"/>
                <a:t>}</a:t>
              </a:r>
              <a:endParaRPr lang="he-IL" sz="1100"/>
            </a:p>
          </xdr:txBody>
        </xdr:sp>
      </mc:Choice>
      <mc:Fallback xmlns="">
        <xdr:sp macro="" textlink="">
          <xdr:nvSpPr>
            <xdr:cNvPr id="2" name="תיבת טקסט 1">
              <a:extLst>
                <a:ext uri="{FF2B5EF4-FFF2-40B4-BE49-F238E27FC236}">
                  <a16:creationId xmlns:a16="http://schemas.microsoft.com/office/drawing/2014/main" id="{DF43D777-8205-4E98-BDD2-071BEDD6036F}"/>
                </a:ext>
              </a:extLst>
            </xdr:cNvPr>
            <xdr:cNvSpPr txBox="1"/>
          </xdr:nvSpPr>
          <xdr:spPr>
            <a:xfrm>
              <a:off x="11230032150" y="263841"/>
              <a:ext cx="2305050" cy="214314"/>
            </a:xfrm>
            <a:prstGeom prst="rect">
              <a:avLst/>
            </a:prstGeom>
            <a:solidFill>
              <a:schemeClr val="accent2">
                <a:lumMod val="40000"/>
                <a:lumOff val="60000"/>
              </a:schemeClr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1" anchor="t">
              <a:spAutoFit/>
            </a:bodyPr>
            <a:lstStyle/>
            <a:p>
              <a:pPr algn="r" rtl="1"/>
              <a:r>
                <a:rPr lang="en-US" sz="1100" b="0" i="0">
                  <a:latin typeface="Cambria Math" panose="02040503050406030204" pitchFamily="18" charset="0"/>
                </a:rPr>
                <a:t>𝑐</a:t>
              </a:r>
              <a:r>
                <a:rPr lang="he-IL" sz="1100" b="0" i="0">
                  <a:latin typeface="Cambria Math" panose="02040503050406030204" pitchFamily="18" charset="0"/>
                </a:rPr>
                <a:t>_</a:t>
              </a:r>
              <a:r>
                <a:rPr lang="en-US" sz="1100" b="0" i="0">
                  <a:latin typeface="Cambria Math" panose="02040503050406030204" pitchFamily="18" charset="0"/>
                </a:rPr>
                <a:t>𝑗=</a:t>
              </a:r>
              <a:r>
                <a:rPr lang="he-IL" sz="1100" i="0">
                  <a:latin typeface="Cambria Math" panose="02040503050406030204" pitchFamily="18" charset="0"/>
                </a:rPr>
                <a:t>∏</a:t>
              </a:r>
              <a:r>
                <a:rPr lang="en-US" sz="1100" b="0" i="0">
                  <a:latin typeface="Cambria Math" panose="02040503050406030204" pitchFamily="18" charset="0"/>
                </a:rPr>
                <a:t>_1^𝑗▒〖𝑝</a:t>
              </a:r>
              <a:r>
                <a:rPr lang="he-IL" sz="1100" b="0" i="0">
                  <a:latin typeface="Cambria Math" panose="02040503050406030204" pitchFamily="18" charset="0"/>
                </a:rPr>
                <a:t>_</a:t>
              </a:r>
              <a:r>
                <a:rPr lang="en-US" sz="1100" b="0" i="0">
                  <a:latin typeface="Cambria Math" panose="02040503050406030204" pitchFamily="18" charset="0"/>
                </a:rPr>
                <a:t>𝑘+(𝑚−1)max⁡{𝑝_1,…𝑝_𝑗 〗</a:t>
              </a:r>
              <a:r>
                <a:rPr lang="en-US" sz="1100"/>
                <a:t>}</a:t>
              </a:r>
              <a:endParaRPr lang="he-IL" sz="1100"/>
            </a:p>
          </xdr:txBody>
        </xdr:sp>
      </mc:Fallback>
    </mc:AlternateContent>
    <xdr:clientData/>
  </xdr:one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3798F3-5771-4C29-8462-83AE84399A18}">
  <dimension ref="A1:K45"/>
  <sheetViews>
    <sheetView rightToLeft="1" tabSelected="1" workbookViewId="0">
      <selection activeCell="F19" sqref="F19"/>
    </sheetView>
  </sheetViews>
  <sheetFormatPr defaultRowHeight="13.8" x14ac:dyDescent="0.25"/>
  <cols>
    <col min="1" max="1" width="10.3984375" bestFit="1" customWidth="1"/>
    <col min="2" max="2" width="12.59765625" bestFit="1" customWidth="1"/>
    <col min="3" max="3" width="10" bestFit="1" customWidth="1"/>
    <col min="4" max="4" width="12.59765625" bestFit="1" customWidth="1"/>
    <col min="5" max="5" width="10.5" bestFit="1" customWidth="1"/>
    <col min="6" max="6" width="12.59765625" bestFit="1" customWidth="1"/>
    <col min="7" max="7" width="10" bestFit="1" customWidth="1"/>
    <col min="8" max="8" width="12.59765625" bestFit="1" customWidth="1"/>
    <col min="9" max="9" width="10" bestFit="1" customWidth="1"/>
    <col min="10" max="10" width="23.3984375" bestFit="1" customWidth="1"/>
  </cols>
  <sheetData>
    <row r="1" spans="1:11" ht="14.4" x14ac:dyDescent="0.3">
      <c r="C1" s="1" t="s">
        <v>4</v>
      </c>
      <c r="D1" s="1"/>
      <c r="E1" s="1" t="s">
        <v>1</v>
      </c>
      <c r="F1" s="1"/>
      <c r="I1" s="1" t="s">
        <v>5</v>
      </c>
      <c r="J1" s="1" t="s">
        <v>11</v>
      </c>
    </row>
    <row r="2" spans="1:11" ht="14.4" x14ac:dyDescent="0.3">
      <c r="A2" s="1" t="s">
        <v>0</v>
      </c>
      <c r="B2" s="1"/>
      <c r="C2">
        <v>5</v>
      </c>
      <c r="E2">
        <v>15</v>
      </c>
      <c r="I2" t="s">
        <v>6</v>
      </c>
      <c r="J2">
        <f>SUM(K11:K13)</f>
        <v>942</v>
      </c>
    </row>
    <row r="3" spans="1:11" ht="14.4" x14ac:dyDescent="0.3">
      <c r="A3" s="1" t="s">
        <v>2</v>
      </c>
      <c r="B3" s="1"/>
      <c r="C3">
        <v>3</v>
      </c>
      <c r="E3">
        <v>6</v>
      </c>
      <c r="I3" t="s">
        <v>7</v>
      </c>
      <c r="J3">
        <f>SUM(K17:K19)</f>
        <v>978</v>
      </c>
    </row>
    <row r="4" spans="1:11" ht="14.4" x14ac:dyDescent="0.3">
      <c r="A4" s="1" t="s">
        <v>3</v>
      </c>
      <c r="B4" s="1"/>
      <c r="C4">
        <v>7</v>
      </c>
      <c r="E4">
        <v>14</v>
      </c>
      <c r="I4" s="5" t="s">
        <v>8</v>
      </c>
      <c r="J4" s="5">
        <f>SUM(K24:K26)</f>
        <v>921</v>
      </c>
    </row>
    <row r="5" spans="1:11" x14ac:dyDescent="0.25">
      <c r="I5" t="s">
        <v>25</v>
      </c>
      <c r="J5">
        <f>SUM(K30:K32)</f>
        <v>1046</v>
      </c>
    </row>
    <row r="6" spans="1:11" x14ac:dyDescent="0.25">
      <c r="I6" t="s">
        <v>9</v>
      </c>
      <c r="J6">
        <f>SUM(K36:K38)</f>
        <v>1103</v>
      </c>
    </row>
    <row r="7" spans="1:11" x14ac:dyDescent="0.25">
      <c r="I7" t="s">
        <v>10</v>
      </c>
      <c r="J7">
        <f>SUM(K43:K45)</f>
        <v>1073</v>
      </c>
    </row>
    <row r="10" spans="1:11" ht="14.4" x14ac:dyDescent="0.3">
      <c r="A10" s="1" t="s">
        <v>6</v>
      </c>
      <c r="B10" s="2" t="s">
        <v>19</v>
      </c>
      <c r="C10" t="s">
        <v>12</v>
      </c>
      <c r="D10" s="2" t="s">
        <v>20</v>
      </c>
      <c r="E10" t="s">
        <v>13</v>
      </c>
      <c r="F10" t="s">
        <v>21</v>
      </c>
      <c r="G10" t="s">
        <v>14</v>
      </c>
      <c r="H10" t="s">
        <v>22</v>
      </c>
      <c r="I10" t="s">
        <v>15</v>
      </c>
      <c r="J10" t="s">
        <v>1</v>
      </c>
      <c r="K10" t="s">
        <v>16</v>
      </c>
    </row>
    <row r="11" spans="1:11" ht="14.4" x14ac:dyDescent="0.3">
      <c r="A11" t="s">
        <v>17</v>
      </c>
      <c r="B11">
        <v>0</v>
      </c>
      <c r="C11" s="1">
        <v>5</v>
      </c>
      <c r="D11">
        <v>5</v>
      </c>
      <c r="E11" s="1">
        <v>10</v>
      </c>
      <c r="F11">
        <v>10</v>
      </c>
      <c r="G11" s="1">
        <v>15</v>
      </c>
      <c r="H11">
        <v>15</v>
      </c>
      <c r="I11" s="1">
        <v>20</v>
      </c>
      <c r="J11">
        <f>E2</f>
        <v>15</v>
      </c>
      <c r="K11">
        <f>J11*I11</f>
        <v>300</v>
      </c>
    </row>
    <row r="12" spans="1:11" ht="14.4" x14ac:dyDescent="0.3">
      <c r="A12" t="s">
        <v>2</v>
      </c>
      <c r="B12">
        <v>5</v>
      </c>
      <c r="C12" s="1">
        <v>8</v>
      </c>
      <c r="D12">
        <v>10</v>
      </c>
      <c r="E12">
        <v>13</v>
      </c>
      <c r="F12">
        <v>15</v>
      </c>
      <c r="G12">
        <v>18</v>
      </c>
      <c r="H12">
        <v>20</v>
      </c>
      <c r="I12">
        <v>23</v>
      </c>
      <c r="J12">
        <f>E3</f>
        <v>6</v>
      </c>
      <c r="K12">
        <f>J12*I12</f>
        <v>138</v>
      </c>
    </row>
    <row r="13" spans="1:11" x14ac:dyDescent="0.25">
      <c r="A13" t="s">
        <v>18</v>
      </c>
      <c r="B13">
        <v>8</v>
      </c>
      <c r="C13">
        <v>15</v>
      </c>
      <c r="D13">
        <v>15</v>
      </c>
      <c r="E13">
        <v>22</v>
      </c>
      <c r="F13">
        <v>22</v>
      </c>
      <c r="G13">
        <v>29</v>
      </c>
      <c r="H13">
        <v>29</v>
      </c>
      <c r="I13">
        <v>36</v>
      </c>
      <c r="J13">
        <v>14</v>
      </c>
      <c r="K13">
        <f>J13*I13</f>
        <v>504</v>
      </c>
    </row>
    <row r="16" spans="1:11" ht="14.4" x14ac:dyDescent="0.3">
      <c r="A16" s="1" t="s">
        <v>7</v>
      </c>
      <c r="B16" s="2" t="s">
        <v>19</v>
      </c>
      <c r="C16" t="s">
        <v>12</v>
      </c>
      <c r="D16" s="2" t="s">
        <v>20</v>
      </c>
      <c r="E16" t="s">
        <v>13</v>
      </c>
      <c r="F16" t="s">
        <v>21</v>
      </c>
      <c r="G16" t="s">
        <v>14</v>
      </c>
      <c r="H16" t="s">
        <v>22</v>
      </c>
      <c r="I16" t="s">
        <v>15</v>
      </c>
      <c r="J16" t="s">
        <v>1</v>
      </c>
      <c r="K16" t="s">
        <v>16</v>
      </c>
    </row>
    <row r="17" spans="1:11" ht="14.4" x14ac:dyDescent="0.3">
      <c r="A17" t="s">
        <v>17</v>
      </c>
      <c r="B17">
        <v>0</v>
      </c>
      <c r="C17" s="1">
        <v>5</v>
      </c>
      <c r="D17">
        <v>5</v>
      </c>
      <c r="E17">
        <v>10</v>
      </c>
      <c r="F17">
        <v>10</v>
      </c>
      <c r="G17">
        <v>15</v>
      </c>
      <c r="H17">
        <v>15</v>
      </c>
      <c r="I17">
        <v>20</v>
      </c>
      <c r="J17">
        <v>15</v>
      </c>
      <c r="K17">
        <f>J17*I17</f>
        <v>300</v>
      </c>
    </row>
    <row r="18" spans="1:11" ht="14.4" x14ac:dyDescent="0.3">
      <c r="A18" t="s">
        <v>3</v>
      </c>
      <c r="B18">
        <v>5</v>
      </c>
      <c r="C18" s="1">
        <v>12</v>
      </c>
      <c r="D18">
        <v>12</v>
      </c>
      <c r="E18" s="1">
        <v>19</v>
      </c>
      <c r="F18">
        <v>19</v>
      </c>
      <c r="G18" s="1">
        <v>26</v>
      </c>
      <c r="H18">
        <v>26</v>
      </c>
      <c r="I18" s="1">
        <v>33</v>
      </c>
      <c r="J18">
        <v>14</v>
      </c>
      <c r="K18">
        <f>J18*I18</f>
        <v>462</v>
      </c>
    </row>
    <row r="19" spans="1:11" x14ac:dyDescent="0.25">
      <c r="A19" t="s">
        <v>23</v>
      </c>
      <c r="B19">
        <v>12</v>
      </c>
      <c r="C19">
        <v>15</v>
      </c>
      <c r="D19">
        <v>19</v>
      </c>
      <c r="E19">
        <v>22</v>
      </c>
      <c r="F19">
        <v>26</v>
      </c>
      <c r="G19">
        <v>29</v>
      </c>
      <c r="H19">
        <v>33</v>
      </c>
      <c r="I19">
        <v>36</v>
      </c>
      <c r="J19">
        <v>6</v>
      </c>
      <c r="K19">
        <f>J19*I19</f>
        <v>216</v>
      </c>
    </row>
    <row r="23" spans="1:11" ht="14.4" x14ac:dyDescent="0.3">
      <c r="A23" s="1" t="s">
        <v>8</v>
      </c>
      <c r="B23" s="2" t="s">
        <v>19</v>
      </c>
      <c r="C23" t="s">
        <v>12</v>
      </c>
      <c r="D23" s="2" t="s">
        <v>20</v>
      </c>
      <c r="E23" t="s">
        <v>13</v>
      </c>
      <c r="F23" t="s">
        <v>21</v>
      </c>
      <c r="G23" t="s">
        <v>14</v>
      </c>
      <c r="H23" t="s">
        <v>22</v>
      </c>
      <c r="I23" t="s">
        <v>15</v>
      </c>
      <c r="J23" t="s">
        <v>1</v>
      </c>
      <c r="K23" t="s">
        <v>16</v>
      </c>
    </row>
    <row r="24" spans="1:11" ht="14.4" x14ac:dyDescent="0.3">
      <c r="A24" t="s">
        <v>24</v>
      </c>
      <c r="B24">
        <v>0</v>
      </c>
      <c r="C24" s="1">
        <v>3</v>
      </c>
      <c r="D24">
        <v>3</v>
      </c>
      <c r="E24">
        <v>6</v>
      </c>
      <c r="F24">
        <v>6</v>
      </c>
      <c r="G24">
        <v>9</v>
      </c>
      <c r="H24">
        <v>9</v>
      </c>
      <c r="I24">
        <v>12</v>
      </c>
      <c r="J24">
        <v>6</v>
      </c>
      <c r="K24">
        <f>J24*I24</f>
        <v>72</v>
      </c>
    </row>
    <row r="25" spans="1:11" ht="14.4" x14ac:dyDescent="0.3">
      <c r="A25" t="s">
        <v>0</v>
      </c>
      <c r="B25">
        <v>3</v>
      </c>
      <c r="C25" s="1">
        <v>8</v>
      </c>
      <c r="D25">
        <v>8</v>
      </c>
      <c r="E25">
        <v>13</v>
      </c>
      <c r="F25">
        <v>13</v>
      </c>
      <c r="G25">
        <v>18</v>
      </c>
      <c r="H25">
        <v>18</v>
      </c>
      <c r="I25">
        <v>23</v>
      </c>
      <c r="J25">
        <v>15</v>
      </c>
      <c r="K25">
        <f>J25*I25</f>
        <v>345</v>
      </c>
    </row>
    <row r="26" spans="1:11" x14ac:dyDescent="0.25">
      <c r="A26" t="s">
        <v>18</v>
      </c>
      <c r="B26">
        <v>8</v>
      </c>
      <c r="C26">
        <v>15</v>
      </c>
      <c r="D26">
        <v>15</v>
      </c>
      <c r="E26">
        <v>22</v>
      </c>
      <c r="F26">
        <v>22</v>
      </c>
      <c r="G26">
        <v>29</v>
      </c>
      <c r="H26">
        <v>29</v>
      </c>
      <c r="I26">
        <v>36</v>
      </c>
      <c r="J26">
        <v>14</v>
      </c>
      <c r="K26">
        <f>J26*I26</f>
        <v>504</v>
      </c>
    </row>
    <row r="29" spans="1:11" ht="14.4" x14ac:dyDescent="0.3">
      <c r="A29" s="1" t="s">
        <v>25</v>
      </c>
      <c r="B29" s="2" t="s">
        <v>19</v>
      </c>
      <c r="C29" t="s">
        <v>12</v>
      </c>
      <c r="D29" s="2" t="s">
        <v>20</v>
      </c>
      <c r="E29" t="s">
        <v>13</v>
      </c>
      <c r="F29" t="s">
        <v>21</v>
      </c>
      <c r="G29" t="s">
        <v>14</v>
      </c>
      <c r="H29" t="s">
        <v>22</v>
      </c>
      <c r="I29" t="s">
        <v>15</v>
      </c>
      <c r="J29" t="s">
        <v>1</v>
      </c>
      <c r="K29" t="s">
        <v>16</v>
      </c>
    </row>
    <row r="30" spans="1:11" x14ac:dyDescent="0.25">
      <c r="A30" t="s">
        <v>24</v>
      </c>
      <c r="B30">
        <v>0</v>
      </c>
      <c r="C30">
        <v>3</v>
      </c>
      <c r="D30">
        <v>3</v>
      </c>
      <c r="E30">
        <v>6</v>
      </c>
      <c r="F30">
        <v>6</v>
      </c>
      <c r="G30">
        <v>9</v>
      </c>
      <c r="H30">
        <v>9</v>
      </c>
      <c r="I30">
        <v>12</v>
      </c>
      <c r="J30">
        <v>6</v>
      </c>
      <c r="K30">
        <f>J30*I30</f>
        <v>72</v>
      </c>
    </row>
    <row r="31" spans="1:11" ht="14.4" x14ac:dyDescent="0.3">
      <c r="A31" t="s">
        <v>3</v>
      </c>
      <c r="B31" s="3">
        <v>3</v>
      </c>
      <c r="C31" s="4">
        <v>10</v>
      </c>
      <c r="D31" s="3">
        <v>10</v>
      </c>
      <c r="E31" s="4">
        <v>17</v>
      </c>
      <c r="F31" s="3">
        <v>17</v>
      </c>
      <c r="G31" s="4">
        <v>24</v>
      </c>
      <c r="H31" s="3">
        <v>24</v>
      </c>
      <c r="I31" s="1">
        <v>31</v>
      </c>
      <c r="J31">
        <v>14</v>
      </c>
      <c r="K31">
        <f>J31*I31</f>
        <v>434</v>
      </c>
    </row>
    <row r="32" spans="1:11" x14ac:dyDescent="0.25">
      <c r="A32" t="s">
        <v>17</v>
      </c>
      <c r="B32">
        <v>10</v>
      </c>
      <c r="C32">
        <v>15</v>
      </c>
      <c r="D32">
        <v>17</v>
      </c>
      <c r="E32">
        <v>22</v>
      </c>
      <c r="F32">
        <v>24</v>
      </c>
      <c r="G32">
        <v>29</v>
      </c>
      <c r="H32">
        <v>31</v>
      </c>
      <c r="I32">
        <v>36</v>
      </c>
      <c r="J32">
        <v>15</v>
      </c>
      <c r="K32">
        <f>J32*I32</f>
        <v>540</v>
      </c>
    </row>
    <row r="35" spans="1:11" ht="14.4" x14ac:dyDescent="0.3">
      <c r="A35" s="1" t="s">
        <v>9</v>
      </c>
      <c r="B35" s="2" t="s">
        <v>19</v>
      </c>
      <c r="C35" t="s">
        <v>12</v>
      </c>
      <c r="D35" s="2" t="s">
        <v>20</v>
      </c>
      <c r="E35" t="s">
        <v>13</v>
      </c>
      <c r="F35" t="s">
        <v>21</v>
      </c>
      <c r="G35" t="s">
        <v>14</v>
      </c>
      <c r="H35" t="s">
        <v>22</v>
      </c>
      <c r="I35" t="s">
        <v>15</v>
      </c>
      <c r="J35" t="s">
        <v>1</v>
      </c>
      <c r="K35" t="s">
        <v>16</v>
      </c>
    </row>
    <row r="36" spans="1:11" ht="14.4" x14ac:dyDescent="0.3">
      <c r="A36" t="s">
        <v>26</v>
      </c>
      <c r="B36">
        <v>0</v>
      </c>
      <c r="C36" s="1">
        <v>7</v>
      </c>
      <c r="D36">
        <v>7</v>
      </c>
      <c r="E36" s="1">
        <v>14</v>
      </c>
      <c r="F36">
        <v>14</v>
      </c>
      <c r="G36" s="1">
        <v>21</v>
      </c>
      <c r="H36">
        <v>21</v>
      </c>
      <c r="I36" s="1">
        <v>28</v>
      </c>
      <c r="J36">
        <v>14</v>
      </c>
      <c r="K36">
        <f>J36*I36</f>
        <v>392</v>
      </c>
    </row>
    <row r="37" spans="1:11" ht="14.4" x14ac:dyDescent="0.3">
      <c r="A37" t="s">
        <v>0</v>
      </c>
      <c r="B37" s="3">
        <v>7</v>
      </c>
      <c r="C37" s="4">
        <v>12</v>
      </c>
      <c r="D37" s="3">
        <v>14</v>
      </c>
      <c r="E37" s="4">
        <v>19</v>
      </c>
      <c r="F37" s="3">
        <v>21</v>
      </c>
      <c r="G37" s="4">
        <v>26</v>
      </c>
      <c r="H37" s="3">
        <v>28</v>
      </c>
      <c r="I37" s="1">
        <v>33</v>
      </c>
      <c r="J37">
        <v>15</v>
      </c>
      <c r="K37">
        <f>J37*I37</f>
        <v>495</v>
      </c>
    </row>
    <row r="38" spans="1:11" x14ac:dyDescent="0.25">
      <c r="A38" t="s">
        <v>23</v>
      </c>
      <c r="B38">
        <v>12</v>
      </c>
      <c r="C38">
        <v>15</v>
      </c>
      <c r="D38">
        <v>19</v>
      </c>
      <c r="E38">
        <v>22</v>
      </c>
      <c r="F38">
        <v>26</v>
      </c>
      <c r="G38">
        <v>29</v>
      </c>
      <c r="H38">
        <v>33</v>
      </c>
      <c r="I38">
        <v>36</v>
      </c>
      <c r="J38">
        <v>6</v>
      </c>
      <c r="K38">
        <f>J38*I38</f>
        <v>216</v>
      </c>
    </row>
    <row r="42" spans="1:11" ht="14.4" x14ac:dyDescent="0.3">
      <c r="A42" s="1" t="s">
        <v>10</v>
      </c>
      <c r="B42" s="2" t="s">
        <v>19</v>
      </c>
      <c r="C42" t="s">
        <v>12</v>
      </c>
      <c r="D42" s="2" t="s">
        <v>20</v>
      </c>
      <c r="E42" t="s">
        <v>13</v>
      </c>
      <c r="F42" t="s">
        <v>21</v>
      </c>
      <c r="G42" t="s">
        <v>14</v>
      </c>
      <c r="H42" t="s">
        <v>22</v>
      </c>
      <c r="I42" t="s">
        <v>15</v>
      </c>
      <c r="J42" t="s">
        <v>1</v>
      </c>
      <c r="K42" t="s">
        <v>16</v>
      </c>
    </row>
    <row r="43" spans="1:11" ht="14.4" x14ac:dyDescent="0.3">
      <c r="A43" t="s">
        <v>26</v>
      </c>
      <c r="B43">
        <v>0</v>
      </c>
      <c r="C43" s="1">
        <v>7</v>
      </c>
      <c r="D43">
        <v>7</v>
      </c>
      <c r="E43" s="1">
        <v>14</v>
      </c>
      <c r="F43">
        <v>14</v>
      </c>
      <c r="G43" s="1">
        <v>21</v>
      </c>
      <c r="H43">
        <v>21</v>
      </c>
      <c r="I43" s="1">
        <v>28</v>
      </c>
      <c r="J43">
        <v>14</v>
      </c>
      <c r="K43">
        <f>J43*I43</f>
        <v>392</v>
      </c>
    </row>
    <row r="44" spans="1:11" ht="14.4" x14ac:dyDescent="0.3">
      <c r="A44" t="s">
        <v>2</v>
      </c>
      <c r="B44" s="3">
        <v>7</v>
      </c>
      <c r="C44" s="4">
        <v>10</v>
      </c>
      <c r="D44" s="3">
        <v>14</v>
      </c>
      <c r="E44" s="4">
        <v>17</v>
      </c>
      <c r="F44" s="3">
        <v>21</v>
      </c>
      <c r="G44" s="4">
        <v>24</v>
      </c>
      <c r="H44" s="3">
        <v>28</v>
      </c>
      <c r="I44" s="1">
        <v>31</v>
      </c>
      <c r="J44">
        <v>15</v>
      </c>
      <c r="K44">
        <f>J44*I44</f>
        <v>465</v>
      </c>
    </row>
    <row r="45" spans="1:11" x14ac:dyDescent="0.25">
      <c r="A45" t="s">
        <v>17</v>
      </c>
      <c r="B45">
        <v>10</v>
      </c>
      <c r="C45">
        <v>15</v>
      </c>
      <c r="D45">
        <v>17</v>
      </c>
      <c r="E45">
        <v>22</v>
      </c>
      <c r="F45">
        <v>24</v>
      </c>
      <c r="G45">
        <v>29</v>
      </c>
      <c r="H45">
        <v>31</v>
      </c>
      <c r="I45">
        <v>36</v>
      </c>
      <c r="J45">
        <v>6</v>
      </c>
      <c r="K45">
        <f>J45*I45</f>
        <v>216</v>
      </c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43312-5717-4D76-A221-99B5C9171B23}">
  <dimension ref="A1:J46"/>
  <sheetViews>
    <sheetView rightToLeft="1" workbookViewId="0">
      <selection activeCell="C12" sqref="C12"/>
    </sheetView>
  </sheetViews>
  <sheetFormatPr defaultRowHeight="13.8" x14ac:dyDescent="0.25"/>
  <cols>
    <col min="1" max="1" width="10.3984375" bestFit="1" customWidth="1"/>
    <col min="2" max="2" width="12.59765625" bestFit="1" customWidth="1"/>
    <col min="3" max="3" width="10" bestFit="1" customWidth="1"/>
    <col min="4" max="4" width="12.59765625" bestFit="1" customWidth="1"/>
    <col min="5" max="5" width="10.5" bestFit="1" customWidth="1"/>
    <col min="6" max="6" width="12.59765625" bestFit="1" customWidth="1"/>
    <col min="7" max="7" width="10" bestFit="1" customWidth="1"/>
    <col min="8" max="8" width="15.69921875" style="9" customWidth="1"/>
    <col min="9" max="9" width="12.19921875" customWidth="1"/>
    <col min="10" max="10" width="50.59765625" customWidth="1"/>
  </cols>
  <sheetData>
    <row r="1" spans="1:10" ht="14.4" x14ac:dyDescent="0.3">
      <c r="C1" s="1" t="s">
        <v>4</v>
      </c>
      <c r="D1" s="1"/>
      <c r="E1" s="1" t="s">
        <v>1</v>
      </c>
      <c r="F1" s="1"/>
      <c r="G1" s="1"/>
      <c r="H1" s="8"/>
      <c r="I1" s="1"/>
      <c r="J1" s="11" t="s">
        <v>35</v>
      </c>
    </row>
    <row r="2" spans="1:10" ht="14.4" x14ac:dyDescent="0.3">
      <c r="A2" s="1" t="s">
        <v>0</v>
      </c>
      <c r="B2" s="1"/>
      <c r="C2">
        <v>4</v>
      </c>
      <c r="E2">
        <v>10</v>
      </c>
    </row>
    <row r="3" spans="1:10" ht="14.4" x14ac:dyDescent="0.3">
      <c r="A3" s="1" t="s">
        <v>2</v>
      </c>
      <c r="B3" s="1"/>
      <c r="C3">
        <v>2</v>
      </c>
      <c r="E3">
        <v>8</v>
      </c>
    </row>
    <row r="4" spans="1:10" ht="14.4" x14ac:dyDescent="0.3">
      <c r="A4" s="1" t="s">
        <v>3</v>
      </c>
      <c r="B4" s="1"/>
      <c r="C4">
        <v>6</v>
      </c>
      <c r="E4">
        <v>12</v>
      </c>
      <c r="J4" t="s">
        <v>38</v>
      </c>
    </row>
    <row r="5" spans="1:10" ht="14.4" x14ac:dyDescent="0.3">
      <c r="A5" s="1" t="s">
        <v>27</v>
      </c>
      <c r="C5">
        <v>3</v>
      </c>
      <c r="E5">
        <v>5</v>
      </c>
      <c r="J5" t="s">
        <v>36</v>
      </c>
    </row>
    <row r="6" spans="1:10" x14ac:dyDescent="0.25">
      <c r="J6" t="s">
        <v>39</v>
      </c>
    </row>
    <row r="7" spans="1:10" x14ac:dyDescent="0.25">
      <c r="J7" t="s">
        <v>37</v>
      </c>
    </row>
    <row r="10" spans="1:10" ht="14.4" x14ac:dyDescent="0.3">
      <c r="A10" s="1" t="s">
        <v>28</v>
      </c>
      <c r="B10" s="2" t="s">
        <v>19</v>
      </c>
      <c r="C10" t="s">
        <v>12</v>
      </c>
      <c r="D10" s="2" t="s">
        <v>20</v>
      </c>
      <c r="E10" t="s">
        <v>13</v>
      </c>
      <c r="F10" t="s">
        <v>21</v>
      </c>
      <c r="G10" t="s">
        <v>14</v>
      </c>
      <c r="H10" s="9" t="s">
        <v>34</v>
      </c>
      <c r="I10" t="s">
        <v>1</v>
      </c>
      <c r="J10" s="1" t="s">
        <v>16</v>
      </c>
    </row>
    <row r="11" spans="1:10" ht="14.4" x14ac:dyDescent="0.3">
      <c r="A11" t="s">
        <v>17</v>
      </c>
      <c r="B11">
        <v>0</v>
      </c>
      <c r="C11" s="1">
        <v>4</v>
      </c>
      <c r="D11">
        <v>4</v>
      </c>
      <c r="E11" s="1">
        <v>8</v>
      </c>
      <c r="F11">
        <v>8</v>
      </c>
      <c r="G11" s="1">
        <v>12</v>
      </c>
      <c r="H11" s="10" t="s">
        <v>42</v>
      </c>
      <c r="I11">
        <v>10</v>
      </c>
      <c r="J11">
        <f>I11*G11</f>
        <v>120</v>
      </c>
    </row>
    <row r="12" spans="1:10" ht="14.4" x14ac:dyDescent="0.3">
      <c r="A12" t="s">
        <v>2</v>
      </c>
      <c r="B12">
        <v>4</v>
      </c>
      <c r="C12" s="1">
        <v>6</v>
      </c>
      <c r="D12">
        <v>8</v>
      </c>
      <c r="E12" s="1">
        <v>10</v>
      </c>
      <c r="F12">
        <v>12</v>
      </c>
      <c r="G12" s="1">
        <v>14</v>
      </c>
      <c r="H12" s="10" t="s">
        <v>40</v>
      </c>
      <c r="I12">
        <f>E3</f>
        <v>8</v>
      </c>
      <c r="J12">
        <f>I12*G12</f>
        <v>112</v>
      </c>
    </row>
    <row r="13" spans="1:10" ht="14.4" x14ac:dyDescent="0.3">
      <c r="A13" t="s">
        <v>18</v>
      </c>
      <c r="B13">
        <v>6</v>
      </c>
      <c r="C13" s="1">
        <v>12</v>
      </c>
      <c r="D13">
        <v>12</v>
      </c>
      <c r="E13" s="1">
        <v>18</v>
      </c>
      <c r="F13">
        <v>18</v>
      </c>
      <c r="G13" s="1">
        <v>24</v>
      </c>
      <c r="H13" s="10" t="s">
        <v>41</v>
      </c>
      <c r="I13">
        <v>12</v>
      </c>
      <c r="J13">
        <f>I13*G13</f>
        <v>288</v>
      </c>
    </row>
    <row r="14" spans="1:10" ht="14.4" x14ac:dyDescent="0.3">
      <c r="A14" t="s">
        <v>27</v>
      </c>
      <c r="B14">
        <v>12</v>
      </c>
      <c r="C14" s="1">
        <v>15</v>
      </c>
      <c r="D14">
        <v>18</v>
      </c>
      <c r="E14" s="1">
        <v>21</v>
      </c>
      <c r="F14">
        <v>24</v>
      </c>
      <c r="G14" s="1">
        <v>27</v>
      </c>
      <c r="H14" s="10" t="s">
        <v>43</v>
      </c>
      <c r="I14">
        <v>5</v>
      </c>
      <c r="J14">
        <f>I14*G14</f>
        <v>135</v>
      </c>
    </row>
    <row r="15" spans="1:10" ht="14.4" x14ac:dyDescent="0.3">
      <c r="C15" s="1"/>
      <c r="E15" s="1"/>
      <c r="G15" s="1"/>
      <c r="H15" s="8"/>
      <c r="J15" s="6">
        <f>SUM(J11:J14)</f>
        <v>655</v>
      </c>
    </row>
    <row r="16" spans="1:10" x14ac:dyDescent="0.25">
      <c r="J16" s="6"/>
    </row>
    <row r="17" spans="1:10" ht="14.4" x14ac:dyDescent="0.3">
      <c r="A17" s="1" t="s">
        <v>29</v>
      </c>
      <c r="B17" s="2" t="s">
        <v>19</v>
      </c>
      <c r="C17" t="s">
        <v>12</v>
      </c>
      <c r="D17" s="2" t="s">
        <v>20</v>
      </c>
      <c r="E17" t="s">
        <v>13</v>
      </c>
      <c r="F17" t="s">
        <v>21</v>
      </c>
      <c r="G17" t="s">
        <v>14</v>
      </c>
      <c r="H17" s="9" t="s">
        <v>34</v>
      </c>
      <c r="I17" t="s">
        <v>1</v>
      </c>
      <c r="J17" t="s">
        <v>16</v>
      </c>
    </row>
    <row r="18" spans="1:10" ht="14.4" x14ac:dyDescent="0.3">
      <c r="A18" t="s">
        <v>17</v>
      </c>
      <c r="B18">
        <v>0</v>
      </c>
      <c r="C18" s="1">
        <v>4</v>
      </c>
      <c r="D18">
        <v>4</v>
      </c>
      <c r="E18" s="1">
        <v>8</v>
      </c>
      <c r="F18">
        <v>8</v>
      </c>
      <c r="G18" s="1">
        <v>12</v>
      </c>
      <c r="H18" s="10" t="s">
        <v>42</v>
      </c>
      <c r="I18">
        <v>10</v>
      </c>
      <c r="J18">
        <f>I18*G18</f>
        <v>120</v>
      </c>
    </row>
    <row r="19" spans="1:10" ht="14.4" x14ac:dyDescent="0.3">
      <c r="A19" t="s">
        <v>3</v>
      </c>
      <c r="B19">
        <v>4</v>
      </c>
      <c r="C19" s="1">
        <v>10</v>
      </c>
      <c r="D19">
        <v>10</v>
      </c>
      <c r="E19" s="1">
        <v>16</v>
      </c>
      <c r="F19">
        <v>16</v>
      </c>
      <c r="G19" s="1">
        <v>22</v>
      </c>
      <c r="H19" s="10" t="s">
        <v>44</v>
      </c>
      <c r="I19">
        <v>12</v>
      </c>
      <c r="J19">
        <f>I19*G19</f>
        <v>264</v>
      </c>
    </row>
    <row r="20" spans="1:10" ht="14.4" x14ac:dyDescent="0.3">
      <c r="A20" t="s">
        <v>23</v>
      </c>
      <c r="B20">
        <v>10</v>
      </c>
      <c r="C20" s="1">
        <v>12</v>
      </c>
      <c r="D20">
        <v>16</v>
      </c>
      <c r="E20" s="1">
        <v>18</v>
      </c>
      <c r="F20">
        <v>22</v>
      </c>
      <c r="G20" s="1">
        <v>24</v>
      </c>
      <c r="H20" s="10" t="s">
        <v>45</v>
      </c>
      <c r="I20">
        <v>8</v>
      </c>
      <c r="J20">
        <f>I20*G20</f>
        <v>192</v>
      </c>
    </row>
    <row r="21" spans="1:10" ht="14.4" x14ac:dyDescent="0.3">
      <c r="A21" t="s">
        <v>27</v>
      </c>
      <c r="B21">
        <v>12</v>
      </c>
      <c r="C21" s="1">
        <v>15</v>
      </c>
      <c r="D21">
        <v>18</v>
      </c>
      <c r="E21" s="1">
        <v>21</v>
      </c>
      <c r="F21">
        <v>24</v>
      </c>
      <c r="G21" s="1">
        <v>27</v>
      </c>
      <c r="H21" s="10" t="s">
        <v>46</v>
      </c>
      <c r="I21">
        <v>5</v>
      </c>
      <c r="J21">
        <f>I21*G21</f>
        <v>135</v>
      </c>
    </row>
    <row r="22" spans="1:10" x14ac:dyDescent="0.25">
      <c r="J22" s="6">
        <f>SUM(J18:J21)</f>
        <v>711</v>
      </c>
    </row>
    <row r="24" spans="1:10" ht="14.4" x14ac:dyDescent="0.3">
      <c r="A24" s="1" t="s">
        <v>30</v>
      </c>
      <c r="B24" s="2" t="s">
        <v>19</v>
      </c>
      <c r="C24" t="s">
        <v>12</v>
      </c>
      <c r="D24" s="2" t="s">
        <v>20</v>
      </c>
      <c r="E24" t="s">
        <v>13</v>
      </c>
      <c r="F24" t="s">
        <v>21</v>
      </c>
      <c r="G24" t="s">
        <v>14</v>
      </c>
      <c r="H24" s="9" t="s">
        <v>34</v>
      </c>
      <c r="I24" t="s">
        <v>1</v>
      </c>
      <c r="J24" t="s">
        <v>16</v>
      </c>
    </row>
    <row r="25" spans="1:10" ht="14.4" x14ac:dyDescent="0.3">
      <c r="A25" t="s">
        <v>24</v>
      </c>
      <c r="B25">
        <v>0</v>
      </c>
      <c r="C25" s="1">
        <v>2</v>
      </c>
      <c r="D25">
        <v>2</v>
      </c>
      <c r="E25" s="1">
        <v>4</v>
      </c>
      <c r="F25">
        <v>4</v>
      </c>
      <c r="G25" s="1">
        <v>6</v>
      </c>
      <c r="H25" s="10" t="s">
        <v>51</v>
      </c>
      <c r="I25">
        <v>8</v>
      </c>
      <c r="J25">
        <f>I25*G25</f>
        <v>48</v>
      </c>
    </row>
    <row r="26" spans="1:10" ht="14.4" x14ac:dyDescent="0.3">
      <c r="A26" t="s">
        <v>0</v>
      </c>
      <c r="B26">
        <v>2</v>
      </c>
      <c r="C26" s="1">
        <v>6</v>
      </c>
      <c r="D26">
        <v>6</v>
      </c>
      <c r="E26" s="1">
        <v>10</v>
      </c>
      <c r="F26">
        <v>10</v>
      </c>
      <c r="G26" s="1">
        <v>14</v>
      </c>
      <c r="H26" s="10" t="s">
        <v>52</v>
      </c>
      <c r="I26">
        <v>10</v>
      </c>
      <c r="J26">
        <f>I26*G26</f>
        <v>140</v>
      </c>
    </row>
    <row r="27" spans="1:10" ht="14.4" x14ac:dyDescent="0.3">
      <c r="A27" t="s">
        <v>31</v>
      </c>
      <c r="B27">
        <v>6</v>
      </c>
      <c r="C27" s="1">
        <v>9</v>
      </c>
      <c r="D27">
        <v>10</v>
      </c>
      <c r="E27" s="1">
        <v>13</v>
      </c>
      <c r="F27">
        <v>14</v>
      </c>
      <c r="G27" s="1">
        <v>17</v>
      </c>
      <c r="H27" s="10" t="s">
        <v>53</v>
      </c>
      <c r="I27">
        <v>5</v>
      </c>
      <c r="J27">
        <f>I27*G27</f>
        <v>85</v>
      </c>
    </row>
    <row r="28" spans="1:10" ht="14.4" x14ac:dyDescent="0.3">
      <c r="A28" t="s">
        <v>32</v>
      </c>
      <c r="B28">
        <v>9</v>
      </c>
      <c r="C28" s="1">
        <v>15</v>
      </c>
      <c r="D28">
        <v>15</v>
      </c>
      <c r="E28" s="1">
        <v>21</v>
      </c>
      <c r="F28">
        <v>21</v>
      </c>
      <c r="G28" s="1">
        <v>27</v>
      </c>
      <c r="H28" s="10" t="s">
        <v>54</v>
      </c>
      <c r="I28">
        <v>12</v>
      </c>
      <c r="J28">
        <f>I28*G28</f>
        <v>324</v>
      </c>
    </row>
    <row r="29" spans="1:10" ht="14.4" x14ac:dyDescent="0.3">
      <c r="C29" s="1"/>
      <c r="E29" s="1"/>
      <c r="G29" s="1"/>
      <c r="H29" s="10"/>
      <c r="J29" s="7">
        <f>SUM(J25:J28)</f>
        <v>597</v>
      </c>
    </row>
    <row r="30" spans="1:10" ht="14.4" x14ac:dyDescent="0.3">
      <c r="H30" s="10"/>
    </row>
    <row r="31" spans="1:10" ht="14.4" x14ac:dyDescent="0.3">
      <c r="A31" s="1" t="s">
        <v>33</v>
      </c>
      <c r="B31" s="2" t="s">
        <v>19</v>
      </c>
      <c r="C31" t="s">
        <v>12</v>
      </c>
      <c r="D31" s="2" t="s">
        <v>20</v>
      </c>
      <c r="E31" t="s">
        <v>13</v>
      </c>
      <c r="F31" t="s">
        <v>21</v>
      </c>
      <c r="G31" t="s">
        <v>14</v>
      </c>
      <c r="H31" s="9" t="s">
        <v>34</v>
      </c>
      <c r="I31" t="s">
        <v>1</v>
      </c>
      <c r="J31" t="s">
        <v>16</v>
      </c>
    </row>
    <row r="32" spans="1:10" ht="14.4" x14ac:dyDescent="0.3">
      <c r="A32" t="s">
        <v>18</v>
      </c>
      <c r="B32">
        <v>0</v>
      </c>
      <c r="C32" s="1">
        <v>6</v>
      </c>
      <c r="D32">
        <v>6</v>
      </c>
      <c r="E32" s="1">
        <v>12</v>
      </c>
      <c r="F32">
        <v>12</v>
      </c>
      <c r="G32" s="1">
        <v>18</v>
      </c>
      <c r="H32" s="10" t="s">
        <v>47</v>
      </c>
      <c r="I32">
        <v>12</v>
      </c>
      <c r="J32">
        <f>I32*G32</f>
        <v>216</v>
      </c>
    </row>
    <row r="33" spans="1:10" ht="14.4" x14ac:dyDescent="0.3">
      <c r="A33" t="s">
        <v>2</v>
      </c>
      <c r="B33" s="3">
        <v>6</v>
      </c>
      <c r="C33" s="1">
        <v>8</v>
      </c>
      <c r="D33" s="3">
        <v>12</v>
      </c>
      <c r="E33" s="4">
        <v>14</v>
      </c>
      <c r="F33" s="3">
        <v>18</v>
      </c>
      <c r="G33" s="1">
        <v>20</v>
      </c>
      <c r="H33" s="10" t="s">
        <v>48</v>
      </c>
      <c r="I33">
        <v>8</v>
      </c>
      <c r="J33">
        <f>I33*G33</f>
        <v>160</v>
      </c>
    </row>
    <row r="34" spans="1:10" ht="14.4" x14ac:dyDescent="0.3">
      <c r="A34" t="s">
        <v>17</v>
      </c>
      <c r="B34">
        <v>8</v>
      </c>
      <c r="C34" s="1">
        <v>12</v>
      </c>
      <c r="D34">
        <v>14</v>
      </c>
      <c r="E34" s="1">
        <v>18</v>
      </c>
      <c r="F34">
        <v>20</v>
      </c>
      <c r="G34" s="1">
        <v>24</v>
      </c>
      <c r="H34" s="10" t="s">
        <v>49</v>
      </c>
      <c r="I34">
        <v>10</v>
      </c>
      <c r="J34">
        <f>I34*G34</f>
        <v>240</v>
      </c>
    </row>
    <row r="35" spans="1:10" ht="14.4" x14ac:dyDescent="0.3">
      <c r="A35" t="s">
        <v>27</v>
      </c>
      <c r="B35">
        <v>12</v>
      </c>
      <c r="C35" s="1">
        <v>15</v>
      </c>
      <c r="D35">
        <v>18</v>
      </c>
      <c r="E35" s="1">
        <v>21</v>
      </c>
      <c r="F35">
        <v>24</v>
      </c>
      <c r="G35" s="1">
        <v>27</v>
      </c>
      <c r="H35" s="10" t="s">
        <v>50</v>
      </c>
      <c r="I35">
        <v>5</v>
      </c>
      <c r="J35">
        <f>I35*G35</f>
        <v>135</v>
      </c>
    </row>
    <row r="36" spans="1:10" x14ac:dyDescent="0.25">
      <c r="J36" s="6">
        <f>SUM(J32:J35)</f>
        <v>751</v>
      </c>
    </row>
    <row r="37" spans="1:10" ht="14.4" x14ac:dyDescent="0.3">
      <c r="A37" s="1"/>
      <c r="B37" s="2"/>
      <c r="D37" s="2"/>
    </row>
    <row r="38" spans="1:10" ht="14.4" x14ac:dyDescent="0.3">
      <c r="C38" s="1"/>
      <c r="E38" s="1"/>
      <c r="G38" s="1"/>
      <c r="H38" s="8"/>
    </row>
    <row r="39" spans="1:10" ht="14.4" x14ac:dyDescent="0.3">
      <c r="B39" s="3"/>
      <c r="C39" s="4"/>
      <c r="D39" s="3"/>
      <c r="E39" s="4"/>
      <c r="F39" s="3"/>
      <c r="G39" s="1"/>
      <c r="H39" s="8"/>
    </row>
    <row r="44" spans="1:10" ht="14.4" x14ac:dyDescent="0.3">
      <c r="A44" s="1"/>
      <c r="B44" s="2"/>
      <c r="D44" s="2"/>
    </row>
    <row r="45" spans="1:10" ht="14.4" x14ac:dyDescent="0.3">
      <c r="C45" s="1"/>
      <c r="E45" s="1"/>
      <c r="G45" s="1"/>
      <c r="H45" s="8"/>
    </row>
    <row r="46" spans="1:10" ht="14.4" x14ac:dyDescent="0.3">
      <c r="B46" s="3"/>
      <c r="C46" s="4"/>
      <c r="D46" s="3"/>
      <c r="E46" s="4"/>
      <c r="F46" s="3"/>
      <c r="G46" s="1"/>
      <c r="H46" s="8"/>
    </row>
  </sheetData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8EC2BD-F918-49A5-AB82-017D5EEEFC77}">
  <dimension ref="A1:Z41"/>
  <sheetViews>
    <sheetView rightToLeft="1" workbookViewId="0">
      <selection activeCell="A28" sqref="A28"/>
    </sheetView>
  </sheetViews>
  <sheetFormatPr defaultRowHeight="13.8" x14ac:dyDescent="0.25"/>
  <cols>
    <col min="1" max="1" width="15.5" bestFit="1" customWidth="1"/>
    <col min="2" max="2" width="11.19921875" customWidth="1"/>
  </cols>
  <sheetData>
    <row r="1" spans="1:26" ht="14.4" x14ac:dyDescent="0.3">
      <c r="C1" s="1" t="s">
        <v>4</v>
      </c>
      <c r="D1" s="1"/>
      <c r="E1" s="1" t="s">
        <v>1</v>
      </c>
      <c r="G1" t="s">
        <v>55</v>
      </c>
    </row>
    <row r="2" spans="1:26" ht="14.4" x14ac:dyDescent="0.3">
      <c r="A2" s="1" t="s">
        <v>0</v>
      </c>
      <c r="B2" s="1"/>
      <c r="C2">
        <v>12</v>
      </c>
      <c r="E2">
        <v>8</v>
      </c>
    </row>
    <row r="3" spans="1:26" ht="14.4" x14ac:dyDescent="0.3">
      <c r="A3" s="1" t="s">
        <v>2</v>
      </c>
      <c r="B3" s="1"/>
      <c r="C3">
        <v>9</v>
      </c>
      <c r="E3">
        <v>18</v>
      </c>
    </row>
    <row r="4" spans="1:26" ht="14.4" x14ac:dyDescent="0.3">
      <c r="A4" s="1" t="s">
        <v>3</v>
      </c>
      <c r="B4" s="1"/>
      <c r="C4">
        <v>2</v>
      </c>
      <c r="E4">
        <v>7</v>
      </c>
    </row>
    <row r="5" spans="1:26" ht="14.4" x14ac:dyDescent="0.3">
      <c r="A5" s="1" t="s">
        <v>27</v>
      </c>
      <c r="C5">
        <v>17</v>
      </c>
      <c r="E5">
        <v>20</v>
      </c>
    </row>
    <row r="8" spans="1:26" ht="14.4" x14ac:dyDescent="0.3">
      <c r="A8" s="1" t="s">
        <v>56</v>
      </c>
    </row>
    <row r="9" spans="1:26" x14ac:dyDescent="0.25">
      <c r="A9" t="s">
        <v>57</v>
      </c>
      <c r="H9" t="s">
        <v>58</v>
      </c>
      <c r="O9" t="s">
        <v>59</v>
      </c>
      <c r="V9" t="s">
        <v>60</v>
      </c>
    </row>
    <row r="10" spans="1:26" x14ac:dyDescent="0.25">
      <c r="A10" t="s">
        <v>61</v>
      </c>
      <c r="B10" t="s">
        <v>62</v>
      </c>
      <c r="C10" t="s">
        <v>63</v>
      </c>
      <c r="D10" t="s">
        <v>1</v>
      </c>
      <c r="E10" t="s">
        <v>64</v>
      </c>
      <c r="H10" t="s">
        <v>61</v>
      </c>
      <c r="I10" t="s">
        <v>62</v>
      </c>
      <c r="J10" t="s">
        <v>63</v>
      </c>
      <c r="K10" t="s">
        <v>1</v>
      </c>
      <c r="L10" t="s">
        <v>64</v>
      </c>
      <c r="O10" t="s">
        <v>61</v>
      </c>
      <c r="P10" t="s">
        <v>62</v>
      </c>
      <c r="Q10" t="s">
        <v>63</v>
      </c>
      <c r="R10" t="s">
        <v>1</v>
      </c>
      <c r="S10" t="s">
        <v>64</v>
      </c>
      <c r="V10" t="s">
        <v>61</v>
      </c>
      <c r="W10" t="s">
        <v>62</v>
      </c>
      <c r="X10" t="s">
        <v>63</v>
      </c>
      <c r="Y10" t="s">
        <v>1</v>
      </c>
      <c r="Z10" t="s">
        <v>64</v>
      </c>
    </row>
    <row r="11" spans="1:26" x14ac:dyDescent="0.25">
      <c r="A11">
        <v>1</v>
      </c>
      <c r="B11">
        <v>1</v>
      </c>
      <c r="C11">
        <f>12+4*12</f>
        <v>60</v>
      </c>
      <c r="D11">
        <v>8</v>
      </c>
      <c r="E11">
        <f>C11*D11</f>
        <v>480</v>
      </c>
      <c r="H11">
        <v>1</v>
      </c>
      <c r="I11">
        <v>1</v>
      </c>
      <c r="J11">
        <f>12+4*12</f>
        <v>60</v>
      </c>
      <c r="K11">
        <v>8</v>
      </c>
      <c r="L11">
        <f>J11*K11</f>
        <v>480</v>
      </c>
      <c r="O11">
        <v>1</v>
      </c>
      <c r="P11">
        <v>1</v>
      </c>
      <c r="Q11">
        <f>12+4*12</f>
        <v>60</v>
      </c>
      <c r="R11">
        <v>8</v>
      </c>
      <c r="S11">
        <f>Q11*R11</f>
        <v>480</v>
      </c>
      <c r="V11">
        <v>1</v>
      </c>
      <c r="W11">
        <v>1</v>
      </c>
      <c r="X11">
        <f>12+4*12</f>
        <v>60</v>
      </c>
      <c r="Y11">
        <v>8</v>
      </c>
      <c r="Z11">
        <f>X11*Y11</f>
        <v>480</v>
      </c>
    </row>
    <row r="12" spans="1:26" x14ac:dyDescent="0.25">
      <c r="A12">
        <v>2</v>
      </c>
      <c r="B12">
        <v>2</v>
      </c>
      <c r="C12">
        <f>21+4*12</f>
        <v>69</v>
      </c>
      <c r="D12">
        <v>18</v>
      </c>
      <c r="E12">
        <f t="shared" ref="E12:E14" si="0">C12*D12</f>
        <v>1242</v>
      </c>
      <c r="H12">
        <v>2</v>
      </c>
      <c r="I12">
        <v>2</v>
      </c>
      <c r="J12">
        <f>21+4*12</f>
        <v>69</v>
      </c>
      <c r="K12">
        <v>18</v>
      </c>
      <c r="L12">
        <f t="shared" ref="L12:L14" si="1">J12*K12</f>
        <v>1242</v>
      </c>
      <c r="O12">
        <v>2</v>
      </c>
      <c r="P12">
        <v>3</v>
      </c>
      <c r="Q12">
        <f>14+4*12</f>
        <v>62</v>
      </c>
      <c r="R12">
        <v>7</v>
      </c>
      <c r="S12">
        <f t="shared" ref="S12:S14" si="2">Q12*R12</f>
        <v>434</v>
      </c>
      <c r="V12">
        <v>2</v>
      </c>
      <c r="W12">
        <v>3</v>
      </c>
      <c r="X12">
        <f>14+4*12</f>
        <v>62</v>
      </c>
      <c r="Y12">
        <v>7</v>
      </c>
      <c r="Z12">
        <f t="shared" ref="Z12:Z14" si="3">X12*Y12</f>
        <v>434</v>
      </c>
    </row>
    <row r="13" spans="1:26" x14ac:dyDescent="0.25">
      <c r="A13">
        <v>3</v>
      </c>
      <c r="B13">
        <v>3</v>
      </c>
      <c r="C13">
        <f>23+4*12</f>
        <v>71</v>
      </c>
      <c r="D13">
        <v>7</v>
      </c>
      <c r="E13">
        <f t="shared" si="0"/>
        <v>497</v>
      </c>
      <c r="H13">
        <v>3</v>
      </c>
      <c r="I13">
        <v>4</v>
      </c>
      <c r="J13">
        <f>38+4*17</f>
        <v>106</v>
      </c>
      <c r="K13">
        <v>20</v>
      </c>
      <c r="L13">
        <f t="shared" si="1"/>
        <v>2120</v>
      </c>
      <c r="O13">
        <v>3</v>
      </c>
      <c r="P13">
        <v>2</v>
      </c>
      <c r="Q13">
        <f>23+4*12</f>
        <v>71</v>
      </c>
      <c r="R13">
        <v>18</v>
      </c>
      <c r="S13">
        <f t="shared" si="2"/>
        <v>1278</v>
      </c>
      <c r="V13">
        <v>3</v>
      </c>
      <c r="W13">
        <v>4</v>
      </c>
      <c r="X13">
        <f>23+4*12</f>
        <v>71</v>
      </c>
      <c r="Y13">
        <v>20</v>
      </c>
      <c r="Z13">
        <f t="shared" si="3"/>
        <v>1420</v>
      </c>
    </row>
    <row r="14" spans="1:26" x14ac:dyDescent="0.25">
      <c r="A14">
        <v>4</v>
      </c>
      <c r="B14">
        <v>4</v>
      </c>
      <c r="C14">
        <f>40+4*17</f>
        <v>108</v>
      </c>
      <c r="D14">
        <v>20</v>
      </c>
      <c r="E14">
        <f t="shared" si="0"/>
        <v>2160</v>
      </c>
      <c r="H14">
        <v>4</v>
      </c>
      <c r="I14">
        <v>3</v>
      </c>
      <c r="J14">
        <f>40+4*17</f>
        <v>108</v>
      </c>
      <c r="K14">
        <v>7</v>
      </c>
      <c r="L14">
        <f t="shared" si="1"/>
        <v>756</v>
      </c>
      <c r="O14">
        <v>4</v>
      </c>
      <c r="P14">
        <v>4</v>
      </c>
      <c r="Q14">
        <f>40+4*17</f>
        <v>108</v>
      </c>
      <c r="R14">
        <v>20</v>
      </c>
      <c r="S14">
        <f t="shared" si="2"/>
        <v>2160</v>
      </c>
      <c r="V14">
        <v>4</v>
      </c>
      <c r="W14">
        <v>2</v>
      </c>
      <c r="X14">
        <f>40+4*17</f>
        <v>108</v>
      </c>
      <c r="Y14">
        <v>18</v>
      </c>
      <c r="Z14">
        <f t="shared" si="3"/>
        <v>1944</v>
      </c>
    </row>
    <row r="15" spans="1:26" x14ac:dyDescent="0.25">
      <c r="A15" t="s">
        <v>64</v>
      </c>
      <c r="E15">
        <f>SUM(E11:E14)</f>
        <v>4379</v>
      </c>
      <c r="H15" t="s">
        <v>64</v>
      </c>
      <c r="L15">
        <f>SUM(L11:L14)</f>
        <v>4598</v>
      </c>
      <c r="O15" t="s">
        <v>64</v>
      </c>
      <c r="S15">
        <f>SUM(S11:S14)</f>
        <v>4352</v>
      </c>
      <c r="V15" t="s">
        <v>64</v>
      </c>
      <c r="Z15">
        <f>SUM(Z11:Z14)</f>
        <v>4278</v>
      </c>
    </row>
    <row r="18" spans="1:19" x14ac:dyDescent="0.25">
      <c r="A18" t="s">
        <v>65</v>
      </c>
      <c r="H18" t="s">
        <v>66</v>
      </c>
      <c r="O18" t="s">
        <v>67</v>
      </c>
    </row>
    <row r="19" spans="1:19" x14ac:dyDescent="0.25">
      <c r="A19" t="s">
        <v>61</v>
      </c>
      <c r="B19" t="s">
        <v>62</v>
      </c>
      <c r="C19" t="s">
        <v>63</v>
      </c>
      <c r="D19" t="s">
        <v>1</v>
      </c>
      <c r="E19" t="s">
        <v>64</v>
      </c>
      <c r="H19" t="s">
        <v>61</v>
      </c>
      <c r="I19" t="s">
        <v>62</v>
      </c>
      <c r="J19" t="s">
        <v>63</v>
      </c>
      <c r="K19" t="s">
        <v>1</v>
      </c>
      <c r="L19" t="s">
        <v>64</v>
      </c>
      <c r="O19" t="s">
        <v>61</v>
      </c>
      <c r="P19" t="s">
        <v>62</v>
      </c>
      <c r="Q19" t="s">
        <v>63</v>
      </c>
      <c r="R19" t="s">
        <v>1</v>
      </c>
      <c r="S19" t="s">
        <v>64</v>
      </c>
    </row>
    <row r="20" spans="1:19" x14ac:dyDescent="0.25">
      <c r="A20">
        <v>1</v>
      </c>
      <c r="B20">
        <v>2</v>
      </c>
      <c r="C20">
        <f>9+4*9</f>
        <v>45</v>
      </c>
      <c r="D20">
        <v>18</v>
      </c>
      <c r="E20">
        <f>C20*D20</f>
        <v>810</v>
      </c>
      <c r="H20">
        <v>1</v>
      </c>
      <c r="I20">
        <v>2</v>
      </c>
      <c r="J20">
        <f>9+4*9</f>
        <v>45</v>
      </c>
      <c r="K20">
        <v>18</v>
      </c>
      <c r="L20">
        <f>J20*K20</f>
        <v>810</v>
      </c>
      <c r="O20">
        <v>1</v>
      </c>
      <c r="P20">
        <v>2</v>
      </c>
      <c r="Q20">
        <f>9+4*9</f>
        <v>45</v>
      </c>
      <c r="R20">
        <v>18</v>
      </c>
      <c r="S20">
        <f>Q20*R20</f>
        <v>810</v>
      </c>
    </row>
    <row r="21" spans="1:19" x14ac:dyDescent="0.25">
      <c r="A21">
        <v>2</v>
      </c>
      <c r="B21">
        <v>1</v>
      </c>
      <c r="C21">
        <f>21+4*12</f>
        <v>69</v>
      </c>
      <c r="D21">
        <v>8</v>
      </c>
      <c r="E21">
        <f t="shared" ref="E21:E23" si="4">C21*D21</f>
        <v>552</v>
      </c>
      <c r="H21">
        <v>2</v>
      </c>
      <c r="I21">
        <v>1</v>
      </c>
      <c r="J21">
        <f>21+4*12</f>
        <v>69</v>
      </c>
      <c r="K21">
        <v>8</v>
      </c>
      <c r="L21">
        <f t="shared" ref="L21:L23" si="5">J21*K21</f>
        <v>552</v>
      </c>
      <c r="O21">
        <v>2</v>
      </c>
      <c r="P21">
        <v>3</v>
      </c>
      <c r="Q21">
        <f>11+4*12</f>
        <v>59</v>
      </c>
      <c r="R21">
        <v>7</v>
      </c>
      <c r="S21">
        <f t="shared" ref="S21:S23" si="6">Q21*R21</f>
        <v>413</v>
      </c>
    </row>
    <row r="22" spans="1:19" x14ac:dyDescent="0.25">
      <c r="A22">
        <v>3</v>
      </c>
      <c r="B22">
        <v>3</v>
      </c>
      <c r="C22">
        <f>23+4*12</f>
        <v>71</v>
      </c>
      <c r="D22">
        <v>7</v>
      </c>
      <c r="E22">
        <f t="shared" si="4"/>
        <v>497</v>
      </c>
      <c r="H22">
        <v>3</v>
      </c>
      <c r="I22">
        <v>4</v>
      </c>
      <c r="J22">
        <f>38+4*17</f>
        <v>106</v>
      </c>
      <c r="K22">
        <v>20</v>
      </c>
      <c r="L22">
        <f t="shared" si="5"/>
        <v>2120</v>
      </c>
      <c r="O22">
        <v>3</v>
      </c>
      <c r="P22">
        <v>1</v>
      </c>
      <c r="Q22">
        <f>23+4*12</f>
        <v>71</v>
      </c>
      <c r="R22">
        <v>8</v>
      </c>
      <c r="S22">
        <f t="shared" si="6"/>
        <v>568</v>
      </c>
    </row>
    <row r="23" spans="1:19" x14ac:dyDescent="0.25">
      <c r="A23">
        <v>4</v>
      </c>
      <c r="B23">
        <v>4</v>
      </c>
      <c r="C23">
        <f>40+4*17</f>
        <v>108</v>
      </c>
      <c r="D23">
        <v>20</v>
      </c>
      <c r="E23">
        <f t="shared" si="4"/>
        <v>2160</v>
      </c>
      <c r="H23">
        <v>4</v>
      </c>
      <c r="I23">
        <v>3</v>
      </c>
      <c r="J23">
        <f>40+4*17</f>
        <v>108</v>
      </c>
      <c r="K23">
        <v>7</v>
      </c>
      <c r="L23">
        <f t="shared" si="5"/>
        <v>756</v>
      </c>
      <c r="O23">
        <v>4</v>
      </c>
      <c r="P23">
        <v>4</v>
      </c>
      <c r="Q23">
        <f>40+4*17</f>
        <v>108</v>
      </c>
      <c r="R23">
        <v>20</v>
      </c>
      <c r="S23">
        <f t="shared" si="6"/>
        <v>2160</v>
      </c>
    </row>
    <row r="24" spans="1:19" x14ac:dyDescent="0.25">
      <c r="A24" t="s">
        <v>64</v>
      </c>
      <c r="E24">
        <f>SUM(E20:E23)</f>
        <v>4019</v>
      </c>
      <c r="H24" t="s">
        <v>64</v>
      </c>
      <c r="L24">
        <f>SUM(L20:L23)</f>
        <v>4238</v>
      </c>
      <c r="O24" t="s">
        <v>64</v>
      </c>
      <c r="S24">
        <f>SUM(S20:S23)</f>
        <v>3951</v>
      </c>
    </row>
    <row r="27" spans="1:19" x14ac:dyDescent="0.25">
      <c r="A27" s="5" t="s">
        <v>68</v>
      </c>
      <c r="B27" s="5" t="s">
        <v>73</v>
      </c>
      <c r="C27" s="5"/>
      <c r="D27" s="5"/>
      <c r="E27" s="5"/>
      <c r="H27" t="s">
        <v>69</v>
      </c>
    </row>
    <row r="28" spans="1:19" x14ac:dyDescent="0.25">
      <c r="A28" s="5" t="s">
        <v>61</v>
      </c>
      <c r="B28" s="5" t="s">
        <v>62</v>
      </c>
      <c r="C28" s="5" t="s">
        <v>63</v>
      </c>
      <c r="D28" s="5" t="s">
        <v>1</v>
      </c>
      <c r="E28" s="5" t="s">
        <v>64</v>
      </c>
      <c r="H28" t="s">
        <v>61</v>
      </c>
      <c r="I28" t="s">
        <v>62</v>
      </c>
      <c r="J28" t="s">
        <v>63</v>
      </c>
      <c r="K28" t="s">
        <v>1</v>
      </c>
      <c r="L28" t="s">
        <v>64</v>
      </c>
    </row>
    <row r="29" spans="1:19" x14ac:dyDescent="0.25">
      <c r="A29" s="5">
        <v>1</v>
      </c>
      <c r="B29" s="5">
        <v>3</v>
      </c>
      <c r="C29" s="5">
        <f>2+4*2</f>
        <v>10</v>
      </c>
      <c r="D29" s="5">
        <v>7</v>
      </c>
      <c r="E29" s="5">
        <f>C29*D29</f>
        <v>70</v>
      </c>
      <c r="H29">
        <v>1</v>
      </c>
      <c r="I29">
        <v>3</v>
      </c>
      <c r="J29">
        <f>2+4*2</f>
        <v>10</v>
      </c>
      <c r="K29">
        <v>7</v>
      </c>
      <c r="L29">
        <f>J29*K29</f>
        <v>70</v>
      </c>
    </row>
    <row r="30" spans="1:19" x14ac:dyDescent="0.25">
      <c r="A30" s="5">
        <v>2</v>
      </c>
      <c r="B30" s="5">
        <v>2</v>
      </c>
      <c r="C30" s="5">
        <f>11+4*9</f>
        <v>47</v>
      </c>
      <c r="D30" s="5">
        <v>18</v>
      </c>
      <c r="E30" s="5">
        <f t="shared" ref="E30:E32" si="7">C30*D30</f>
        <v>846</v>
      </c>
      <c r="H30">
        <v>2</v>
      </c>
      <c r="I30">
        <v>1</v>
      </c>
      <c r="J30">
        <f>14+4*12</f>
        <v>62</v>
      </c>
      <c r="K30">
        <v>8</v>
      </c>
      <c r="L30">
        <f t="shared" ref="L30:L32" si="8">J30*K30</f>
        <v>496</v>
      </c>
    </row>
    <row r="31" spans="1:19" x14ac:dyDescent="0.25">
      <c r="A31" s="5">
        <v>3</v>
      </c>
      <c r="B31" s="5">
        <v>1</v>
      </c>
      <c r="C31" s="5">
        <f>23+4*12</f>
        <v>71</v>
      </c>
      <c r="D31" s="5">
        <v>8</v>
      </c>
      <c r="E31" s="5">
        <f t="shared" si="7"/>
        <v>568</v>
      </c>
      <c r="H31">
        <v>3</v>
      </c>
      <c r="I31">
        <v>2</v>
      </c>
      <c r="J31">
        <f>23+4*12</f>
        <v>71</v>
      </c>
      <c r="K31">
        <v>18</v>
      </c>
      <c r="L31">
        <f t="shared" si="8"/>
        <v>1278</v>
      </c>
    </row>
    <row r="32" spans="1:19" x14ac:dyDescent="0.25">
      <c r="A32" s="5">
        <v>4</v>
      </c>
      <c r="B32" s="5">
        <v>4</v>
      </c>
      <c r="C32" s="5">
        <f>40+4*17</f>
        <v>108</v>
      </c>
      <c r="D32" s="5">
        <v>20</v>
      </c>
      <c r="E32" s="5">
        <f t="shared" si="7"/>
        <v>2160</v>
      </c>
      <c r="H32">
        <v>4</v>
      </c>
      <c r="I32">
        <v>4</v>
      </c>
      <c r="J32">
        <f>40+4*17</f>
        <v>108</v>
      </c>
      <c r="K32">
        <v>20</v>
      </c>
      <c r="L32">
        <f t="shared" si="8"/>
        <v>2160</v>
      </c>
    </row>
    <row r="33" spans="1:13" x14ac:dyDescent="0.25">
      <c r="A33" s="5" t="s">
        <v>64</v>
      </c>
      <c r="B33" s="5"/>
      <c r="C33" s="5"/>
      <c r="D33" s="5"/>
      <c r="E33" s="5">
        <f>SUM(E29:E32)</f>
        <v>3644</v>
      </c>
      <c r="H33" t="s">
        <v>64</v>
      </c>
      <c r="L33">
        <f>SUM(L29:L32)</f>
        <v>4004</v>
      </c>
    </row>
    <row r="36" spans="1:13" ht="14.4" x14ac:dyDescent="0.3">
      <c r="A36" s="12" t="s">
        <v>70</v>
      </c>
      <c r="B36" s="13" t="s">
        <v>19</v>
      </c>
      <c r="C36" s="14" t="s">
        <v>12</v>
      </c>
      <c r="D36" s="13" t="s">
        <v>20</v>
      </c>
      <c r="E36" s="14" t="s">
        <v>13</v>
      </c>
      <c r="F36" s="14" t="s">
        <v>21</v>
      </c>
      <c r="G36" s="14" t="s">
        <v>14</v>
      </c>
      <c r="H36" s="14" t="s">
        <v>22</v>
      </c>
      <c r="I36" s="14" t="s">
        <v>15</v>
      </c>
      <c r="J36" s="14" t="s">
        <v>71</v>
      </c>
      <c r="K36" s="14" t="s">
        <v>72</v>
      </c>
      <c r="L36" s="14" t="s">
        <v>1</v>
      </c>
      <c r="M36" s="14" t="s">
        <v>16</v>
      </c>
    </row>
    <row r="37" spans="1:13" ht="14.4" x14ac:dyDescent="0.3">
      <c r="A37" s="13" t="s">
        <v>3</v>
      </c>
      <c r="B37" s="14">
        <v>0</v>
      </c>
      <c r="C37" s="12">
        <v>2</v>
      </c>
      <c r="D37" s="14">
        <v>2</v>
      </c>
      <c r="E37" s="12">
        <v>4</v>
      </c>
      <c r="F37" s="14">
        <v>4</v>
      </c>
      <c r="G37" s="12">
        <v>6</v>
      </c>
      <c r="H37" s="14">
        <v>6</v>
      </c>
      <c r="I37" s="12">
        <v>8</v>
      </c>
      <c r="J37" s="14">
        <v>8</v>
      </c>
      <c r="K37" s="12">
        <v>10</v>
      </c>
      <c r="L37" s="14">
        <v>7</v>
      </c>
      <c r="M37" s="14">
        <f>L37*K37</f>
        <v>70</v>
      </c>
    </row>
    <row r="38" spans="1:13" ht="14.4" x14ac:dyDescent="0.3">
      <c r="A38" s="13" t="s">
        <v>2</v>
      </c>
      <c r="B38" s="14">
        <v>2</v>
      </c>
      <c r="C38" s="12">
        <v>11</v>
      </c>
      <c r="D38" s="14">
        <v>11</v>
      </c>
      <c r="E38" s="12">
        <v>20</v>
      </c>
      <c r="F38" s="14">
        <v>20</v>
      </c>
      <c r="G38" s="12">
        <v>29</v>
      </c>
      <c r="H38" s="14">
        <v>29</v>
      </c>
      <c r="I38" s="12">
        <v>38</v>
      </c>
      <c r="J38" s="14">
        <v>38</v>
      </c>
      <c r="K38" s="12">
        <v>47</v>
      </c>
      <c r="L38" s="14">
        <v>18</v>
      </c>
      <c r="M38" s="14">
        <f>L38*K38</f>
        <v>846</v>
      </c>
    </row>
    <row r="39" spans="1:13" ht="14.4" x14ac:dyDescent="0.3">
      <c r="A39" s="13" t="s">
        <v>0</v>
      </c>
      <c r="B39" s="14">
        <v>11</v>
      </c>
      <c r="C39" s="12">
        <v>23</v>
      </c>
      <c r="D39" s="14">
        <v>23</v>
      </c>
      <c r="E39" s="12">
        <v>35</v>
      </c>
      <c r="F39" s="14">
        <v>35</v>
      </c>
      <c r="G39" s="12">
        <v>47</v>
      </c>
      <c r="H39" s="14">
        <v>47</v>
      </c>
      <c r="I39" s="12">
        <v>59</v>
      </c>
      <c r="J39" s="14">
        <v>59</v>
      </c>
      <c r="K39" s="12">
        <v>71</v>
      </c>
      <c r="L39" s="14">
        <v>8</v>
      </c>
      <c r="M39" s="14">
        <f>L39*K39</f>
        <v>568</v>
      </c>
    </row>
    <row r="40" spans="1:13" ht="14.4" x14ac:dyDescent="0.3">
      <c r="A40" s="13" t="s">
        <v>27</v>
      </c>
      <c r="B40" s="14">
        <v>23</v>
      </c>
      <c r="C40" s="12">
        <v>40</v>
      </c>
      <c r="D40" s="14">
        <v>40</v>
      </c>
      <c r="E40" s="12">
        <v>57</v>
      </c>
      <c r="F40" s="14">
        <v>57</v>
      </c>
      <c r="G40" s="12">
        <v>74</v>
      </c>
      <c r="H40" s="14">
        <v>74</v>
      </c>
      <c r="I40" s="12">
        <v>91</v>
      </c>
      <c r="J40" s="14">
        <v>91</v>
      </c>
      <c r="K40" s="12">
        <v>108</v>
      </c>
      <c r="L40" s="14">
        <v>20</v>
      </c>
      <c r="M40" s="14">
        <f>L40*K40</f>
        <v>2160</v>
      </c>
    </row>
    <row r="41" spans="1:13" ht="14.4" x14ac:dyDescent="0.3">
      <c r="A41" s="13" t="s">
        <v>64</v>
      </c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>
        <f>SUM(M37:M40)</f>
        <v>3644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169DBC-DFED-44FA-B3B9-5F9DA65B4E29}">
  <dimension ref="A1:J51"/>
  <sheetViews>
    <sheetView rightToLeft="1" zoomScaleNormal="100" workbookViewId="0">
      <selection activeCell="F11" sqref="F11"/>
    </sheetView>
  </sheetViews>
  <sheetFormatPr defaultRowHeight="13.8" x14ac:dyDescent="0.25"/>
  <cols>
    <col min="1" max="1" width="19.3984375" bestFit="1" customWidth="1"/>
    <col min="2" max="2" width="12.59765625" bestFit="1" customWidth="1"/>
    <col min="3" max="3" width="25.296875" customWidth="1"/>
    <col min="4" max="4" width="12.59765625" bestFit="1" customWidth="1"/>
    <col min="5" max="5" width="10.5" bestFit="1" customWidth="1"/>
    <col min="6" max="6" width="12.59765625" bestFit="1" customWidth="1"/>
    <col min="7" max="7" width="10" bestFit="1" customWidth="1"/>
    <col min="8" max="8" width="15.69921875" style="9" customWidth="1"/>
    <col min="9" max="9" width="12.19921875" customWidth="1"/>
    <col min="10" max="10" width="50.59765625" customWidth="1"/>
  </cols>
  <sheetData>
    <row r="1" spans="1:10" ht="14.4" x14ac:dyDescent="0.3">
      <c r="C1" s="1" t="s">
        <v>4</v>
      </c>
      <c r="D1" s="1" t="s">
        <v>1</v>
      </c>
      <c r="E1" s="1" t="s">
        <v>74</v>
      </c>
      <c r="G1" s="1"/>
      <c r="H1" s="8"/>
      <c r="I1" s="1"/>
      <c r="J1" s="11" t="s">
        <v>35</v>
      </c>
    </row>
    <row r="2" spans="1:10" ht="14.4" x14ac:dyDescent="0.3">
      <c r="A2" s="1" t="s">
        <v>0</v>
      </c>
      <c r="B2" s="1"/>
      <c r="C2">
        <v>4</v>
      </c>
      <c r="D2">
        <v>10</v>
      </c>
      <c r="E2">
        <v>4</v>
      </c>
    </row>
    <row r="3" spans="1:10" ht="14.4" x14ac:dyDescent="0.3">
      <c r="A3" s="1" t="s">
        <v>2</v>
      </c>
      <c r="B3" s="1"/>
      <c r="C3">
        <v>2</v>
      </c>
      <c r="D3">
        <v>8</v>
      </c>
      <c r="E3">
        <v>3</v>
      </c>
    </row>
    <row r="4" spans="1:10" ht="14.4" x14ac:dyDescent="0.3">
      <c r="A4" s="1" t="s">
        <v>3</v>
      </c>
      <c r="B4" s="1"/>
      <c r="C4">
        <v>6</v>
      </c>
      <c r="D4">
        <v>12</v>
      </c>
      <c r="E4">
        <v>6</v>
      </c>
      <c r="J4" t="s">
        <v>38</v>
      </c>
    </row>
    <row r="5" spans="1:10" ht="14.4" x14ac:dyDescent="0.3">
      <c r="A5" s="1" t="s">
        <v>27</v>
      </c>
      <c r="C5">
        <v>3</v>
      </c>
      <c r="D5">
        <v>5</v>
      </c>
      <c r="E5">
        <v>5</v>
      </c>
      <c r="J5" t="s">
        <v>36</v>
      </c>
    </row>
    <row r="6" spans="1:10" ht="14.4" x14ac:dyDescent="0.3">
      <c r="A6" s="1" t="s">
        <v>75</v>
      </c>
      <c r="C6">
        <v>12</v>
      </c>
      <c r="D6">
        <v>12</v>
      </c>
      <c r="E6">
        <v>8</v>
      </c>
      <c r="J6" t="s">
        <v>39</v>
      </c>
    </row>
    <row r="7" spans="1:10" x14ac:dyDescent="0.25">
      <c r="J7" t="s">
        <v>37</v>
      </c>
    </row>
    <row r="8" spans="1:10" ht="14.4" x14ac:dyDescent="0.3">
      <c r="A8" s="1" t="s">
        <v>77</v>
      </c>
    </row>
    <row r="9" spans="1:10" ht="14.4" x14ac:dyDescent="0.3">
      <c r="A9" s="1" t="s">
        <v>76</v>
      </c>
    </row>
    <row r="10" spans="1:10" x14ac:dyDescent="0.25">
      <c r="A10" t="s">
        <v>78</v>
      </c>
      <c r="C10" t="s">
        <v>83</v>
      </c>
    </row>
    <row r="11" spans="1:10" x14ac:dyDescent="0.25">
      <c r="A11" t="s">
        <v>79</v>
      </c>
      <c r="C11" t="s">
        <v>100</v>
      </c>
    </row>
    <row r="12" spans="1:10" x14ac:dyDescent="0.25">
      <c r="A12" t="s">
        <v>80</v>
      </c>
      <c r="C12" t="s">
        <v>84</v>
      </c>
    </row>
    <row r="13" spans="1:10" x14ac:dyDescent="0.25">
      <c r="A13" t="s">
        <v>81</v>
      </c>
      <c r="C13" t="s">
        <v>85</v>
      </c>
    </row>
    <row r="14" spans="1:10" x14ac:dyDescent="0.25">
      <c r="A14" t="s">
        <v>82</v>
      </c>
      <c r="C14" t="s">
        <v>86</v>
      </c>
    </row>
    <row r="18" spans="1:10" x14ac:dyDescent="0.25">
      <c r="A18" t="s">
        <v>87</v>
      </c>
    </row>
    <row r="19" spans="1:10" ht="14.4" x14ac:dyDescent="0.3">
      <c r="A19" s="1" t="s">
        <v>88</v>
      </c>
      <c r="B19" s="2" t="s">
        <v>19</v>
      </c>
      <c r="C19" t="s">
        <v>12</v>
      </c>
      <c r="D19" s="2" t="s">
        <v>20</v>
      </c>
      <c r="E19" t="s">
        <v>13</v>
      </c>
      <c r="F19" t="s">
        <v>21</v>
      </c>
      <c r="G19" t="s">
        <v>14</v>
      </c>
      <c r="H19" s="9" t="s">
        <v>34</v>
      </c>
      <c r="I19" t="s">
        <v>1</v>
      </c>
      <c r="J19" s="1" t="s">
        <v>16</v>
      </c>
    </row>
    <row r="20" spans="1:10" ht="14.4" x14ac:dyDescent="0.3">
      <c r="A20" t="s">
        <v>2</v>
      </c>
      <c r="B20">
        <v>0</v>
      </c>
      <c r="C20" s="1">
        <v>2</v>
      </c>
      <c r="D20">
        <v>2</v>
      </c>
      <c r="E20" s="1">
        <v>4</v>
      </c>
      <c r="F20">
        <v>4</v>
      </c>
      <c r="G20" s="1">
        <v>6</v>
      </c>
      <c r="H20" s="15" t="s">
        <v>51</v>
      </c>
      <c r="I20">
        <v>8</v>
      </c>
      <c r="J20">
        <f>I20*G20</f>
        <v>48</v>
      </c>
    </row>
    <row r="21" spans="1:10" ht="14.4" x14ac:dyDescent="0.3">
      <c r="A21" t="s">
        <v>27</v>
      </c>
      <c r="B21">
        <v>2</v>
      </c>
      <c r="C21" s="1">
        <v>5</v>
      </c>
      <c r="D21">
        <v>5</v>
      </c>
      <c r="E21" s="1">
        <v>8</v>
      </c>
      <c r="F21">
        <v>8</v>
      </c>
      <c r="G21" s="1">
        <v>11</v>
      </c>
      <c r="H21" s="15" t="s">
        <v>89</v>
      </c>
      <c r="I21">
        <v>5</v>
      </c>
      <c r="J21">
        <f>I21*G21</f>
        <v>55</v>
      </c>
    </row>
    <row r="22" spans="1:10" ht="14.4" x14ac:dyDescent="0.3">
      <c r="A22" t="s">
        <v>75</v>
      </c>
      <c r="B22">
        <v>5</v>
      </c>
      <c r="C22" s="1">
        <v>17</v>
      </c>
      <c r="D22">
        <v>17</v>
      </c>
      <c r="E22" s="1">
        <v>29</v>
      </c>
      <c r="F22">
        <v>29</v>
      </c>
      <c r="G22" s="1">
        <v>41</v>
      </c>
      <c r="H22" s="15" t="s">
        <v>90</v>
      </c>
      <c r="I22">
        <v>12</v>
      </c>
      <c r="J22">
        <f>I22*G22</f>
        <v>492</v>
      </c>
    </row>
    <row r="23" spans="1:10" ht="14.4" x14ac:dyDescent="0.3">
      <c r="C23" s="1"/>
      <c r="E23" s="1"/>
      <c r="G23" s="1"/>
      <c r="H23" s="8"/>
      <c r="J23" s="7">
        <f>SUM(J20:J22)</f>
        <v>595</v>
      </c>
    </row>
    <row r="24" spans="1:10" x14ac:dyDescent="0.25">
      <c r="J24" s="6"/>
    </row>
    <row r="25" spans="1:10" ht="14.4" x14ac:dyDescent="0.3">
      <c r="A25" s="1" t="s">
        <v>91</v>
      </c>
      <c r="B25" s="2" t="s">
        <v>19</v>
      </c>
      <c r="C25" t="s">
        <v>12</v>
      </c>
      <c r="D25" s="2" t="s">
        <v>20</v>
      </c>
      <c r="E25" t="s">
        <v>13</v>
      </c>
      <c r="F25" t="s">
        <v>21</v>
      </c>
      <c r="G25" t="s">
        <v>14</v>
      </c>
      <c r="H25" s="9" t="s">
        <v>34</v>
      </c>
      <c r="I25" t="s">
        <v>1</v>
      </c>
      <c r="J25" t="s">
        <v>16</v>
      </c>
    </row>
    <row r="26" spans="1:10" ht="14.4" x14ac:dyDescent="0.3">
      <c r="A26" t="s">
        <v>31</v>
      </c>
      <c r="B26">
        <v>0</v>
      </c>
      <c r="C26" s="1">
        <v>3</v>
      </c>
      <c r="D26">
        <v>3</v>
      </c>
      <c r="E26" s="1">
        <v>6</v>
      </c>
      <c r="F26">
        <v>6</v>
      </c>
      <c r="G26" s="1">
        <v>9</v>
      </c>
      <c r="H26" s="15" t="s">
        <v>93</v>
      </c>
      <c r="I26">
        <v>5</v>
      </c>
      <c r="J26">
        <f>I26*G26</f>
        <v>45</v>
      </c>
    </row>
    <row r="27" spans="1:10" ht="14.4" x14ac:dyDescent="0.3">
      <c r="A27" t="s">
        <v>2</v>
      </c>
      <c r="B27">
        <v>3</v>
      </c>
      <c r="C27" s="1">
        <v>5</v>
      </c>
      <c r="D27">
        <v>6</v>
      </c>
      <c r="E27" s="1">
        <v>8</v>
      </c>
      <c r="F27">
        <v>9</v>
      </c>
      <c r="G27" s="1">
        <v>11</v>
      </c>
      <c r="H27" s="15" t="s">
        <v>89</v>
      </c>
      <c r="I27">
        <v>8</v>
      </c>
      <c r="J27">
        <f>I27*G27</f>
        <v>88</v>
      </c>
    </row>
    <row r="28" spans="1:10" ht="14.4" x14ac:dyDescent="0.3">
      <c r="A28" t="s">
        <v>92</v>
      </c>
      <c r="B28">
        <v>5</v>
      </c>
      <c r="C28" s="1">
        <v>17</v>
      </c>
      <c r="D28">
        <v>17</v>
      </c>
      <c r="E28" s="1">
        <v>29</v>
      </c>
      <c r="F28">
        <v>29</v>
      </c>
      <c r="G28" s="1">
        <v>41</v>
      </c>
      <c r="H28" s="15" t="s">
        <v>90</v>
      </c>
      <c r="I28">
        <v>12</v>
      </c>
      <c r="J28">
        <f>I28*G28</f>
        <v>492</v>
      </c>
    </row>
    <row r="29" spans="1:10" x14ac:dyDescent="0.25">
      <c r="J29" s="6">
        <f>SUM(J26:J28)</f>
        <v>625</v>
      </c>
    </row>
    <row r="31" spans="1:10" ht="14.4" x14ac:dyDescent="0.3">
      <c r="A31" s="1" t="s">
        <v>94</v>
      </c>
      <c r="B31" s="2" t="s">
        <v>19</v>
      </c>
      <c r="C31" t="s">
        <v>12</v>
      </c>
      <c r="D31" s="2" t="s">
        <v>20</v>
      </c>
      <c r="E31" t="s">
        <v>13</v>
      </c>
      <c r="F31" t="s">
        <v>21</v>
      </c>
      <c r="G31" t="s">
        <v>14</v>
      </c>
      <c r="H31" s="9" t="s">
        <v>34</v>
      </c>
      <c r="I31" t="s">
        <v>1</v>
      </c>
      <c r="J31" t="s">
        <v>16</v>
      </c>
    </row>
    <row r="32" spans="1:10" ht="14.4" x14ac:dyDescent="0.3">
      <c r="A32" t="s">
        <v>31</v>
      </c>
      <c r="B32">
        <v>0</v>
      </c>
      <c r="C32" s="1">
        <v>3</v>
      </c>
      <c r="D32">
        <v>3</v>
      </c>
      <c r="E32" s="1">
        <v>6</v>
      </c>
      <c r="F32">
        <v>6</v>
      </c>
      <c r="G32" s="1">
        <v>9</v>
      </c>
      <c r="H32" s="15" t="s">
        <v>93</v>
      </c>
      <c r="I32">
        <v>5</v>
      </c>
      <c r="J32">
        <f>I32*G32</f>
        <v>45</v>
      </c>
    </row>
    <row r="33" spans="1:10" ht="14.4" x14ac:dyDescent="0.3">
      <c r="A33" t="s">
        <v>92</v>
      </c>
      <c r="B33">
        <v>3</v>
      </c>
      <c r="C33" s="1">
        <v>15</v>
      </c>
      <c r="D33">
        <v>15</v>
      </c>
      <c r="E33" s="1">
        <v>27</v>
      </c>
      <c r="F33">
        <v>27</v>
      </c>
      <c r="G33" s="1">
        <v>39</v>
      </c>
      <c r="H33" s="15" t="s">
        <v>95</v>
      </c>
      <c r="I33">
        <v>12</v>
      </c>
      <c r="J33">
        <f>I33*G33</f>
        <v>468</v>
      </c>
    </row>
    <row r="34" spans="1:10" ht="14.4" x14ac:dyDescent="0.3">
      <c r="A34" t="s">
        <v>2</v>
      </c>
      <c r="B34">
        <v>15</v>
      </c>
      <c r="C34" s="1">
        <v>17</v>
      </c>
      <c r="D34">
        <v>17</v>
      </c>
      <c r="E34" s="1">
        <v>29</v>
      </c>
      <c r="F34">
        <v>29</v>
      </c>
      <c r="G34" s="1">
        <v>41</v>
      </c>
      <c r="H34" s="15" t="s">
        <v>90</v>
      </c>
      <c r="I34">
        <v>8</v>
      </c>
      <c r="J34" s="3">
        <f>I34*G34</f>
        <v>328</v>
      </c>
    </row>
    <row r="35" spans="1:10" ht="14.4" x14ac:dyDescent="0.3">
      <c r="C35" s="1"/>
      <c r="E35" s="1"/>
      <c r="G35" s="1"/>
      <c r="H35" s="10"/>
      <c r="J35" s="16">
        <f>SUM(J32:J34)</f>
        <v>841</v>
      </c>
    </row>
    <row r="36" spans="1:10" ht="14.4" x14ac:dyDescent="0.3">
      <c r="H36" s="10"/>
    </row>
    <row r="37" spans="1:10" ht="14.4" x14ac:dyDescent="0.3">
      <c r="A37" s="1" t="s">
        <v>96</v>
      </c>
      <c r="B37" s="2" t="s">
        <v>19</v>
      </c>
      <c r="C37" t="s">
        <v>12</v>
      </c>
      <c r="D37" s="2" t="s">
        <v>20</v>
      </c>
      <c r="E37" t="s">
        <v>13</v>
      </c>
      <c r="F37" t="s">
        <v>21</v>
      </c>
      <c r="G37" t="s">
        <v>14</v>
      </c>
      <c r="H37" s="9" t="s">
        <v>34</v>
      </c>
      <c r="I37" t="s">
        <v>1</v>
      </c>
      <c r="J37" t="s">
        <v>16</v>
      </c>
    </row>
    <row r="38" spans="1:10" ht="14.4" x14ac:dyDescent="0.3">
      <c r="A38" t="s">
        <v>2</v>
      </c>
      <c r="B38">
        <v>0</v>
      </c>
      <c r="C38" s="1">
        <v>2</v>
      </c>
      <c r="D38">
        <v>2</v>
      </c>
      <c r="E38" s="1">
        <v>4</v>
      </c>
      <c r="F38">
        <v>4</v>
      </c>
      <c r="G38" s="1">
        <v>6</v>
      </c>
      <c r="H38" s="15" t="s">
        <v>51</v>
      </c>
      <c r="I38">
        <v>8</v>
      </c>
      <c r="J38">
        <f>I38*G38</f>
        <v>48</v>
      </c>
    </row>
    <row r="39" spans="1:10" ht="14.4" x14ac:dyDescent="0.3">
      <c r="A39" t="s">
        <v>92</v>
      </c>
      <c r="B39" s="3">
        <v>2</v>
      </c>
      <c r="C39" s="1">
        <v>14</v>
      </c>
      <c r="D39" s="3">
        <v>14</v>
      </c>
      <c r="E39" s="4">
        <v>26</v>
      </c>
      <c r="F39" s="3">
        <v>26</v>
      </c>
      <c r="G39" s="1">
        <v>38</v>
      </c>
      <c r="H39" s="15" t="s">
        <v>97</v>
      </c>
      <c r="I39">
        <v>12</v>
      </c>
      <c r="J39">
        <f>I39*G39</f>
        <v>456</v>
      </c>
    </row>
    <row r="40" spans="1:10" ht="14.4" x14ac:dyDescent="0.3">
      <c r="A40" t="s">
        <v>31</v>
      </c>
      <c r="B40">
        <v>14</v>
      </c>
      <c r="C40" s="1">
        <v>17</v>
      </c>
      <c r="D40">
        <v>17</v>
      </c>
      <c r="E40" s="1">
        <v>29</v>
      </c>
      <c r="F40">
        <v>29</v>
      </c>
      <c r="G40" s="1">
        <v>41</v>
      </c>
      <c r="H40" s="15" t="s">
        <v>90</v>
      </c>
      <c r="I40">
        <v>5</v>
      </c>
      <c r="J40">
        <f>I40*G40</f>
        <v>205</v>
      </c>
    </row>
    <row r="41" spans="1:10" x14ac:dyDescent="0.25">
      <c r="J41" s="6">
        <f>SUM(J38:J40)</f>
        <v>709</v>
      </c>
    </row>
    <row r="42" spans="1:10" ht="14.4" x14ac:dyDescent="0.3">
      <c r="A42" s="1"/>
      <c r="B42" s="2"/>
      <c r="D42" s="2"/>
    </row>
    <row r="43" spans="1:10" ht="14.4" x14ac:dyDescent="0.3">
      <c r="A43" s="1" t="s">
        <v>98</v>
      </c>
      <c r="B43" s="2" t="s">
        <v>19</v>
      </c>
      <c r="C43" t="s">
        <v>12</v>
      </c>
      <c r="D43" s="2" t="s">
        <v>20</v>
      </c>
      <c r="E43" t="s">
        <v>13</v>
      </c>
      <c r="F43" t="s">
        <v>21</v>
      </c>
      <c r="G43" t="s">
        <v>14</v>
      </c>
      <c r="H43" s="9" t="s">
        <v>34</v>
      </c>
      <c r="I43" t="s">
        <v>1</v>
      </c>
      <c r="J43" t="s">
        <v>16</v>
      </c>
    </row>
    <row r="44" spans="1:10" ht="14.4" x14ac:dyDescent="0.3">
      <c r="A44" t="s">
        <v>92</v>
      </c>
      <c r="B44">
        <v>0</v>
      </c>
      <c r="C44" s="1">
        <v>12</v>
      </c>
      <c r="D44">
        <v>12</v>
      </c>
      <c r="E44" s="1">
        <v>24</v>
      </c>
      <c r="F44">
        <v>24</v>
      </c>
      <c r="G44" s="1">
        <v>36</v>
      </c>
      <c r="H44" s="15" t="s">
        <v>99</v>
      </c>
      <c r="I44">
        <v>12</v>
      </c>
      <c r="J44">
        <f>I44*G44</f>
        <v>432</v>
      </c>
    </row>
    <row r="45" spans="1:10" ht="14.4" x14ac:dyDescent="0.3">
      <c r="A45" t="s">
        <v>2</v>
      </c>
      <c r="B45" s="3">
        <v>12</v>
      </c>
      <c r="C45" s="1">
        <v>14</v>
      </c>
      <c r="D45" s="3">
        <v>14</v>
      </c>
      <c r="E45" s="4">
        <v>26</v>
      </c>
      <c r="F45" s="3">
        <v>26</v>
      </c>
      <c r="G45" s="1">
        <v>38</v>
      </c>
      <c r="H45" s="15" t="s">
        <v>97</v>
      </c>
      <c r="I45">
        <v>8</v>
      </c>
      <c r="J45">
        <f>I45*G45</f>
        <v>304</v>
      </c>
    </row>
    <row r="46" spans="1:10" ht="14.4" x14ac:dyDescent="0.3">
      <c r="A46" t="s">
        <v>31</v>
      </c>
      <c r="B46">
        <v>14</v>
      </c>
      <c r="C46" s="1">
        <v>17</v>
      </c>
      <c r="D46">
        <v>17</v>
      </c>
      <c r="E46" s="1">
        <v>29</v>
      </c>
      <c r="F46">
        <v>29</v>
      </c>
      <c r="G46" s="1">
        <v>41</v>
      </c>
      <c r="H46" s="15" t="s">
        <v>90</v>
      </c>
      <c r="I46">
        <v>5</v>
      </c>
      <c r="J46">
        <f>I46*G46</f>
        <v>205</v>
      </c>
    </row>
    <row r="47" spans="1:10" x14ac:dyDescent="0.25">
      <c r="J47" s="6">
        <f>SUM(J44:J46)</f>
        <v>941</v>
      </c>
    </row>
    <row r="49" spans="1:8" ht="14.4" x14ac:dyDescent="0.3">
      <c r="A49" s="1"/>
      <c r="B49" s="2"/>
      <c r="D49" s="2"/>
    </row>
    <row r="50" spans="1:8" ht="14.4" x14ac:dyDescent="0.3">
      <c r="C50" s="1"/>
      <c r="E50" s="1"/>
      <c r="G50" s="1"/>
      <c r="H50" s="8"/>
    </row>
    <row r="51" spans="1:8" ht="14.4" x14ac:dyDescent="0.3">
      <c r="B51" s="3"/>
      <c r="C51" s="4"/>
      <c r="D51" s="3"/>
      <c r="E51" s="4"/>
      <c r="F51" s="3"/>
      <c r="G51" s="1"/>
      <c r="H51" s="8"/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4</vt:i4>
      </vt:variant>
    </vt:vector>
  </HeadingPairs>
  <TitlesOfParts>
    <vt:vector size="4" baseType="lpstr">
      <vt:lpstr>דוגמה 1</vt:lpstr>
      <vt:lpstr>דוגמה 2</vt:lpstr>
      <vt:lpstr>דוגמה 3</vt:lpstr>
      <vt:lpstr>דוגמה 4 עם משקלי דחייה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ישי אישון</dc:creator>
  <cp:lastModifiedBy>Doris Brimer</cp:lastModifiedBy>
  <dcterms:created xsi:type="dcterms:W3CDTF">2025-12-07T11:26:18Z</dcterms:created>
  <dcterms:modified xsi:type="dcterms:W3CDTF">2026-04-15T01:30:05Z</dcterms:modified>
</cp:coreProperties>
</file>